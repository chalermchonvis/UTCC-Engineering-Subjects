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30326" codeName="{26A90621-87C4-6C01-FD6A-EE6E7C14090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All_Teaching\A_Subjects\NL217 โปรแกรมคอมพิวเตอร์ในการแก้ปัญหาทางวิศวกรรม\Excel_Lab\"/>
    </mc:Choice>
  </mc:AlternateContent>
  <xr:revisionPtr revIDLastSave="0" documentId="13_ncr:1_{837C1E72-6B5B-4140-8A1B-1F96A1D21B90}" xr6:coauthVersionLast="47" xr6:coauthVersionMax="47" xr10:uidLastSave="{00000000-0000-0000-0000-000000000000}"/>
  <bookViews>
    <workbookView xWindow="-120" yWindow="-120" windowWidth="19440" windowHeight="11520" firstSheet="6" activeTab="10" xr2:uid="{00000000-000D-0000-FFFF-FFFF00000000}"/>
  </bookViews>
  <sheets>
    <sheet name="Lab_1_1" sheetId="7" r:id="rId1"/>
    <sheet name="Lab_1_2" sheetId="6" r:id="rId2"/>
    <sheet name="Lab_1_3" sheetId="10" r:id="rId3"/>
    <sheet name="Lab_1_4" sheetId="11" r:id="rId4"/>
    <sheet name="Lab_2_1" sheetId="8" r:id="rId5"/>
    <sheet name="Lab_2_2" sheetId="1" r:id="rId6"/>
    <sheet name="Lab_2_3" sheetId="4" r:id="rId7"/>
    <sheet name="Lab_2_4" sheetId="5" r:id="rId8"/>
    <sheet name="Lab_3_1" sheetId="9" r:id="rId9"/>
    <sheet name="Lab_3_2" sheetId="14" r:id="rId10"/>
    <sheet name="Lab_4" sheetId="12" r:id="rId11"/>
    <sheet name="Lab_5_1" sheetId="16" r:id="rId12"/>
    <sheet name="Lab_5_2" sheetId="15" r:id="rId13"/>
  </sheet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5" i="14" l="1"/>
  <c r="B6" i="14"/>
  <c r="B7" i="14"/>
  <c r="B8" i="14"/>
  <c r="B9" i="14"/>
  <c r="B4" i="14"/>
  <c r="B18" i="8"/>
  <c r="B17" i="8"/>
  <c r="B16" i="8"/>
  <c r="D3" i="5"/>
  <c r="C3" i="5"/>
  <c r="B3" i="5"/>
  <c r="D10" i="4"/>
  <c r="D7" i="4"/>
  <c r="D6" i="4"/>
  <c r="D2" i="9"/>
  <c r="D5" i="4"/>
  <c r="C3" i="10"/>
  <c r="D9" i="4"/>
  <c r="D2" i="11"/>
  <c r="B5" i="5"/>
  <c r="B7" i="5"/>
  <c r="D7" i="1"/>
  <c r="D5" i="1"/>
  <c r="B7" i="1"/>
  <c r="C3" i="8"/>
  <c r="C6" i="8"/>
  <c r="D4" i="11"/>
  <c r="D4" i="4"/>
  <c r="D6" i="11"/>
  <c r="D3" i="10"/>
  <c r="A16" i="8"/>
  <c r="C5" i="1"/>
  <c r="C5" i="8"/>
  <c r="C7" i="1"/>
  <c r="C4" i="8"/>
  <c r="C6" i="10"/>
  <c r="D11" i="4"/>
  <c r="B5" i="1"/>
  <c r="A17" i="8"/>
  <c r="D12" i="4"/>
  <c r="D8" i="4"/>
  <c r="A18" i="8"/>
  <c r="E7" i="1"/>
  <c r="D3" i="9"/>
</calcChain>
</file>

<file path=xl/sharedStrings.xml><?xml version="1.0" encoding="utf-8"?>
<sst xmlns="http://schemas.openxmlformats.org/spreadsheetml/2006/main" count="203" uniqueCount="132">
  <si>
    <t>ID</t>
  </si>
  <si>
    <t>Amount</t>
  </si>
  <si>
    <t>ShipmentID</t>
  </si>
  <si>
    <t>(17)</t>
  </si>
  <si>
    <t>YY</t>
  </si>
  <si>
    <t>MM</t>
  </si>
  <si>
    <t>LEN</t>
  </si>
  <si>
    <t>LEFT</t>
  </si>
  <si>
    <t>RIGHT</t>
  </si>
  <si>
    <t>FIND</t>
  </si>
  <si>
    <t>MID</t>
  </si>
  <si>
    <t>ความยาว</t>
  </si>
  <si>
    <t>ตัดซ้าย 2 ตัว</t>
  </si>
  <si>
    <t>รหัสการผลิต ตัดข้อความจากขวา 7 ตัว</t>
  </si>
  <si>
    <t>รหัสสินค้า เริ่มตำแหน่งที่ 3 จำนวน 14 ตัว</t>
  </si>
  <si>
    <t>วันหมดอายุ 6 ตัวระหว่าง ตำแหน่ง 19 ถึง 24</t>
  </si>
  <si>
    <t>(01)35019315001974(17)120300(10)1234567</t>
  </si>
  <si>
    <t>(01)</t>
  </si>
  <si>
    <t>(10)</t>
  </si>
  <si>
    <t>ความยาวข้อมูล</t>
  </si>
  <si>
    <t>(01)35019315001974(10)1234567(17)120300</t>
  </si>
  <si>
    <t>AI</t>
  </si>
  <si>
    <t>DD</t>
  </si>
  <si>
    <t>013501931500197417200315101234567</t>
  </si>
  <si>
    <t>Date</t>
  </si>
  <si>
    <t>วันที่หมดอายุ</t>
  </si>
  <si>
    <t>YYMMDD</t>
  </si>
  <si>
    <t>ปี YY</t>
  </si>
  <si>
    <t>เดือน MM</t>
  </si>
  <si>
    <t>วันที่ DD</t>
  </si>
  <si>
    <t>Trainers</t>
  </si>
  <si>
    <t>Pokeballs</t>
  </si>
  <si>
    <t>Cost</t>
  </si>
  <si>
    <t>Iva</t>
  </si>
  <si>
    <t>Liam</t>
  </si>
  <si>
    <t>Pablo</t>
  </si>
  <si>
    <t>Jenny</t>
  </si>
  <si>
    <t>Iben</t>
  </si>
  <si>
    <t>Kasper</t>
  </si>
  <si>
    <t>Price</t>
  </si>
  <si>
    <t>TotalSum</t>
  </si>
  <si>
    <t>Learn Excel Easily</t>
  </si>
  <si>
    <t>VALUE</t>
  </si>
  <si>
    <t>TEXT</t>
  </si>
  <si>
    <t>Time</t>
  </si>
  <si>
    <t>Hour</t>
  </si>
  <si>
    <t>DateTime</t>
  </si>
  <si>
    <t>Hours</t>
  </si>
  <si>
    <t>คำนวณค่า OT</t>
  </si>
  <si>
    <t>บาท/hr</t>
  </si>
  <si>
    <t>OT_Cost</t>
  </si>
  <si>
    <t>10 * 45</t>
  </si>
  <si>
    <t>5*45</t>
  </si>
  <si>
    <t>"0"</t>
  </si>
  <si>
    <t>"$#,##0.00"</t>
  </si>
  <si>
    <t>"0.0%"</t>
  </si>
  <si>
    <t>"0000000"</t>
  </si>
  <si>
    <t>"MM/DD/YY"</t>
  </si>
  <si>
    <t>"DDDD"</t>
  </si>
  <si>
    <t>"H:MM AM/PM"</t>
  </si>
  <si>
    <t>font Libre Barcode 39</t>
  </si>
  <si>
    <t>https://fonts.google.com/specimen/Libre+Barcode+39?preview.script=Latn</t>
  </si>
  <si>
    <t>โหลด font</t>
  </si>
  <si>
    <t>รายการ</t>
  </si>
  <si>
    <t>รายการสินค้าคงคลัง (รหัสสินค้า)</t>
  </si>
  <si>
    <t xml:space="preserve">ปริมาณการใช้สินค้า คงคลังต่อปี (หน่วย) </t>
  </si>
  <si>
    <t>ราคาต่อหน่วย  (บาท)</t>
  </si>
  <si>
    <t>มูลค่าของสินค้าคงคลัง (บาท)</t>
  </si>
  <si>
    <t>ลำดับที่</t>
  </si>
  <si>
    <t>A1</t>
  </si>
  <si>
    <t>X2</t>
  </si>
  <si>
    <t>D3</t>
  </si>
  <si>
    <t>C6</t>
  </si>
  <si>
    <t>V4</t>
  </si>
  <si>
    <t>B8</t>
  </si>
  <si>
    <t>L9</t>
  </si>
  <si>
    <t>S5</t>
  </si>
  <si>
    <t>G7</t>
  </si>
  <si>
    <t>O9</t>
  </si>
  <si>
    <t>P3</t>
  </si>
  <si>
    <t>M2</t>
  </si>
  <si>
    <t>N8</t>
  </si>
  <si>
    <t>Subject</t>
  </si>
  <si>
    <t xml:space="preserve"> NL2317</t>
  </si>
  <si>
    <t>NAME</t>
  </si>
  <si>
    <t>Score</t>
  </si>
  <si>
    <t>Grade</t>
  </si>
  <si>
    <t>Jan, 2018</t>
  </si>
  <si>
    <t>Feb, 2018</t>
  </si>
  <si>
    <t>Mar, 2018</t>
  </si>
  <si>
    <t>Apr, 2018</t>
  </si>
  <si>
    <t>May, 2018</t>
  </si>
  <si>
    <t>Jun, 2018</t>
  </si>
  <si>
    <t>Jul, 2018</t>
  </si>
  <si>
    <t>Aug, 2018</t>
  </si>
  <si>
    <t>Sep, 2018</t>
  </si>
  <si>
    <t>Oct, 2018</t>
  </si>
  <si>
    <t>Nov, 2018</t>
  </si>
  <si>
    <t>Dec, 2018</t>
  </si>
  <si>
    <t>Jan, 2019</t>
  </si>
  <si>
    <t>Feb, 2019</t>
  </si>
  <si>
    <t>Mar, 2019</t>
  </si>
  <si>
    <t>Apr, 2019</t>
  </si>
  <si>
    <t>$45</t>
  </si>
  <si>
    <t>$55</t>
  </si>
  <si>
    <t>$47</t>
  </si>
  <si>
    <t>$60</t>
  </si>
  <si>
    <t>$90</t>
  </si>
  <si>
    <t>$100</t>
  </si>
  <si>
    <t>$95</t>
  </si>
  <si>
    <t>$88</t>
  </si>
  <si>
    <t>$50</t>
  </si>
  <si>
    <t>$58</t>
  </si>
  <si>
    <t>$59</t>
  </si>
  <si>
    <t>$62</t>
  </si>
  <si>
    <t>$3,100</t>
  </si>
  <si>
    <t>$3,700</t>
  </si>
  <si>
    <t>$3,500</t>
  </si>
  <si>
    <t>$3,400</t>
  </si>
  <si>
    <t>$3,350</t>
  </si>
  <si>
    <t>$4,400</t>
  </si>
  <si>
    <t>$4,500</t>
  </si>
  <si>
    <t>$4,000</t>
  </si>
  <si>
    <t>$4,200</t>
  </si>
  <si>
    <t>$3,800</t>
  </si>
  <si>
    <t xml:space="preserve"> </t>
  </si>
  <si>
    <t>Month</t>
  </si>
  <si>
    <t>Resellers</t>
  </si>
  <si>
    <t>Advertising</t>
  </si>
  <si>
    <t>Sales</t>
  </si>
  <si>
    <t>https://www.ablebits.com/office-addins-blog/excel-trend-function/</t>
  </si>
  <si>
    <t>https://cdn.ablebits.com/_img-blog/trend/trend-projection-excel.png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</si>
</sst>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>
    <font>
      <sz val="11"/>
      <color theme="1"/>
      <name val="Calibri"/>
      <family val="2"/>
      <charset val="222"/>
      <scheme val="minor"/>
    </font>
    <font>
      <sz val="12"/>
      <color rgb="FFFF0000"/>
      <name val="Calibri"/>
      <family val="2"/>
      <charset val="222"/>
      <scheme val="minor"/>
    </font>
    <font>
      <sz val="14"/>
      <color theme="1"/>
      <name val="Calibri"/>
      <family val="2"/>
      <charset val="222"/>
      <scheme val="minor"/>
    </font>
    <font>
      <sz val="12"/>
      <color theme="1"/>
      <name val="Calibri"/>
      <family val="2"/>
      <charset val="222"/>
      <scheme val="minor"/>
    </font>
    <font>
      <sz val="12"/>
      <color rgb="FF0070C0"/>
      <name val="Calibri"/>
      <family val="2"/>
      <charset val="222"/>
      <scheme val="minor"/>
    </font>
    <font>
      <sz val="12"/>
      <color rgb="FF00B050"/>
      <name val="Calibri"/>
      <family val="2"/>
      <charset val="222"/>
      <scheme val="minor"/>
    </font>
    <font>
      <sz val="12"/>
      <color rgb="FFC00000"/>
      <name val="Calibri"/>
      <family val="2"/>
      <charset val="222"/>
      <scheme val="minor"/>
    </font>
    <font>
      <sz val="12"/>
      <color rgb="FF454545"/>
      <name val="Courier New"/>
      <family val="3"/>
    </font>
    <font>
      <sz val="11"/>
      <color rgb="FFFF0000"/>
      <name val="Calibri"/>
      <family val="2"/>
      <charset val="222"/>
      <scheme val="minor"/>
    </font>
    <font>
      <b/>
      <sz val="11"/>
      <color rgb="FF0070C0"/>
      <name val="Calibri"/>
      <family val="2"/>
      <scheme val="minor"/>
    </font>
    <font>
      <sz val="11"/>
      <color theme="1"/>
      <name val="Libre Barcode 39"/>
    </font>
    <font>
      <sz val="24"/>
      <color theme="1"/>
      <name val="Libre Barcode 39"/>
    </font>
    <font>
      <sz val="18"/>
      <color rgb="FF00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4">
    <xf numFmtId="0" fontId="0" fillId="0" borderId="0" xfId="0"/>
    <xf numFmtId="0" fontId="1" fillId="0" borderId="0" xfId="0" applyFont="1"/>
    <xf numFmtId="0" fontId="3" fillId="0" borderId="0" xfId="0" applyFont="1" applyAlignment="1">
      <alignment horizontal="center"/>
    </xf>
    <xf numFmtId="0" fontId="3" fillId="0" borderId="0" xfId="0" applyFont="1"/>
    <xf numFmtId="2" fontId="3" fillId="0" borderId="0" xfId="0" applyNumberFormat="1" applyFont="1" applyAlignment="1">
      <alignment horizontal="center"/>
    </xf>
    <xf numFmtId="1" fontId="3" fillId="0" borderId="0" xfId="0" applyNumberFormat="1" applyFont="1" applyAlignment="1">
      <alignment horizontal="center"/>
    </xf>
    <xf numFmtId="0" fontId="4" fillId="0" borderId="0" xfId="0" applyFont="1" applyAlignment="1">
      <alignment horizontal="center"/>
    </xf>
    <xf numFmtId="0" fontId="5" fillId="0" borderId="0" xfId="0" applyFont="1"/>
    <xf numFmtId="0" fontId="4" fillId="0" borderId="0" xfId="0" applyFont="1" applyAlignment="1">
      <alignment horizontal="right"/>
    </xf>
    <xf numFmtId="0" fontId="4" fillId="0" borderId="0" xfId="0" applyFont="1"/>
    <xf numFmtId="0" fontId="6" fillId="0" borderId="0" xfId="0" applyFont="1" applyAlignment="1">
      <alignment horizontal="center"/>
    </xf>
    <xf numFmtId="49" fontId="3" fillId="0" borderId="0" xfId="0" applyNumberFormat="1" applyFont="1"/>
    <xf numFmtId="49" fontId="2" fillId="0" borderId="0" xfId="0" applyNumberFormat="1" applyFont="1"/>
    <xf numFmtId="0" fontId="3" fillId="2" borderId="0" xfId="0" applyFont="1" applyFill="1"/>
    <xf numFmtId="0" fontId="0" fillId="0" borderId="0" xfId="0" applyAlignment="1">
      <alignment vertical="top"/>
    </xf>
    <xf numFmtId="0" fontId="3" fillId="3" borderId="0" xfId="0" applyFont="1" applyFill="1" applyAlignment="1">
      <alignment horizontal="center"/>
    </xf>
    <xf numFmtId="14" fontId="7" fillId="3" borderId="0" xfId="0" applyNumberFormat="1" applyFont="1" applyFill="1"/>
    <xf numFmtId="0" fontId="3" fillId="3" borderId="0" xfId="0" applyFont="1" applyFill="1"/>
    <xf numFmtId="49" fontId="4" fillId="0" borderId="0" xfId="0" applyNumberFormat="1" applyFont="1" applyAlignment="1">
      <alignment horizontal="center"/>
    </xf>
    <xf numFmtId="49" fontId="3" fillId="0" borderId="0" xfId="0" applyNumberFormat="1" applyFont="1" applyAlignment="1">
      <alignment horizontal="center"/>
    </xf>
    <xf numFmtId="0" fontId="4" fillId="3" borderId="0" xfId="0" applyFont="1" applyFill="1"/>
    <xf numFmtId="0" fontId="6" fillId="0" borderId="0" xfId="0" applyFont="1"/>
    <xf numFmtId="0" fontId="6" fillId="3" borderId="0" xfId="0" applyFont="1" applyFill="1"/>
    <xf numFmtId="0" fontId="3" fillId="0" borderId="0" xfId="0" applyFont="1" applyAlignment="1">
      <alignment horizontal="right"/>
    </xf>
    <xf numFmtId="0" fontId="0" fillId="0" borderId="1" xfId="0" applyBorder="1"/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20" fontId="0" fillId="0" borderId="1" xfId="0" applyNumberForma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0" fontId="8" fillId="0" borderId="0" xfId="0" applyFont="1" applyAlignment="1">
      <alignment horizontal="center"/>
    </xf>
    <xf numFmtId="22" fontId="0" fillId="0" borderId="1" xfId="0" applyNumberFormat="1" applyBorder="1" applyAlignment="1">
      <alignment horizontal="center"/>
    </xf>
    <xf numFmtId="0" fontId="8" fillId="0" borderId="0" xfId="0" applyFont="1"/>
    <xf numFmtId="0" fontId="0" fillId="3" borderId="1" xfId="0" applyFill="1" applyBorder="1"/>
    <xf numFmtId="14" fontId="0" fillId="0" borderId="0" xfId="0" applyNumberFormat="1"/>
    <xf numFmtId="0" fontId="8" fillId="0" borderId="0" xfId="0" applyFont="1" applyAlignment="1">
      <alignment horizontal="right"/>
    </xf>
    <xf numFmtId="22" fontId="0" fillId="0" borderId="0" xfId="0" applyNumberFormat="1"/>
    <xf numFmtId="0" fontId="9" fillId="0" borderId="0" xfId="0" applyFont="1"/>
    <xf numFmtId="0" fontId="10" fillId="0" borderId="0" xfId="0" applyFont="1"/>
    <xf numFmtId="0" fontId="11" fillId="0" borderId="0" xfId="0" applyFont="1"/>
    <xf numFmtId="0" fontId="12" fillId="0" borderId="0" xfId="0" applyFont="1" applyAlignment="1">
      <alignment horizontal="left" vertical="center" readingOrder="1"/>
    </xf>
    <xf numFmtId="1" fontId="2" fillId="0" borderId="0" xfId="0" applyNumberFormat="1" applyFont="1"/>
    <xf numFmtId="0" fontId="0" fillId="0" borderId="1" xfId="0" applyBorder="1" applyAlignment="1">
      <alignment horizontal="center" wrapText="1"/>
    </xf>
    <xf numFmtId="0" fontId="0" fillId="0" borderId="1" xfId="0" applyBorder="1" applyAlignment="1">
      <alignment wrapText="1"/>
    </xf>
    <xf numFmtId="4" fontId="0" fillId="0" borderId="1" xfId="0" applyNumberForma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8.png"/><Relationship Id="rId1" Type="http://schemas.openxmlformats.org/officeDocument/2006/relationships/image" Target="../media/image7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38100</xdr:colOff>
      <xdr:row>1</xdr:row>
      <xdr:rowOff>161925</xdr:rowOff>
    </xdr:from>
    <xdr:to>
      <xdr:col>16</xdr:col>
      <xdr:colOff>181676</xdr:colOff>
      <xdr:row>20</xdr:row>
      <xdr:rowOff>38588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CF27504-CBAF-4987-55E0-A4721878B8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124575" y="352425"/>
          <a:ext cx="5020376" cy="34961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535781</xdr:colOff>
      <xdr:row>0</xdr:row>
      <xdr:rowOff>71438</xdr:rowOff>
    </xdr:from>
    <xdr:to>
      <xdr:col>3</xdr:col>
      <xdr:colOff>750093</xdr:colOff>
      <xdr:row>0</xdr:row>
      <xdr:rowOff>1022906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9E1417D4-22C0-4F28-BCD4-F6FFCAD954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56172" y="71438"/>
          <a:ext cx="2518171" cy="95146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130630</xdr:colOff>
      <xdr:row>0</xdr:row>
      <xdr:rowOff>18048</xdr:rowOff>
    </xdr:from>
    <xdr:to>
      <xdr:col>1</xdr:col>
      <xdr:colOff>183899</xdr:colOff>
      <xdr:row>0</xdr:row>
      <xdr:rowOff>660982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FC8173C-2A59-44AF-8C8F-238B528BFBD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3050" t="7766" r="1684" b="6809"/>
        <a:stretch/>
      </xdr:blipFill>
      <xdr:spPr>
        <a:xfrm>
          <a:off x="130630" y="18048"/>
          <a:ext cx="3208133" cy="642934"/>
        </a:xfrm>
        <a:prstGeom prst="rect">
          <a:avLst/>
        </a:prstGeom>
      </xdr:spPr>
    </xdr:pic>
    <xdr:clientData/>
  </xdr:twoCellAnchor>
  <xdr:twoCellAnchor editAs="oneCell">
    <xdr:from>
      <xdr:col>2</xdr:col>
      <xdr:colOff>267850</xdr:colOff>
      <xdr:row>0</xdr:row>
      <xdr:rowOff>8613</xdr:rowOff>
    </xdr:from>
    <xdr:to>
      <xdr:col>2</xdr:col>
      <xdr:colOff>851427</xdr:colOff>
      <xdr:row>0</xdr:row>
      <xdr:rowOff>584984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C40CE69E-4BAC-4522-8F24-043F39716EC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14033" t="10979" r="14398" b="9816"/>
        <a:stretch/>
      </xdr:blipFill>
      <xdr:spPr>
        <a:xfrm>
          <a:off x="3742833" y="8613"/>
          <a:ext cx="583577" cy="576371"/>
        </a:xfrm>
        <a:prstGeom prst="rect">
          <a:avLst/>
        </a:prstGeom>
      </xdr:spPr>
    </xdr:pic>
    <xdr:clientData/>
  </xdr:twoCellAnchor>
  <xdr:twoCellAnchor editAs="oneCell">
    <xdr:from>
      <xdr:col>0</xdr:col>
      <xdr:colOff>60157</xdr:colOff>
      <xdr:row>0</xdr:row>
      <xdr:rowOff>797561</xdr:rowOff>
    </xdr:from>
    <xdr:to>
      <xdr:col>3</xdr:col>
      <xdr:colOff>1108364</xdr:colOff>
      <xdr:row>1</xdr:row>
      <xdr:rowOff>402633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AF04E836-98F2-47D3-9E73-A4E88AF8AC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0157" y="797561"/>
          <a:ext cx="5734656" cy="406175"/>
        </a:xfrm>
        <a:prstGeom prst="rect">
          <a:avLst/>
        </a:prstGeom>
      </xdr:spPr>
    </xdr:pic>
    <xdr:clientData/>
  </xdr:twoCellAnchor>
  <xdr:twoCellAnchor editAs="oneCell">
    <xdr:from>
      <xdr:col>3</xdr:col>
      <xdr:colOff>65690</xdr:colOff>
      <xdr:row>0</xdr:row>
      <xdr:rowOff>29230</xdr:rowOff>
    </xdr:from>
    <xdr:to>
      <xdr:col>3</xdr:col>
      <xdr:colOff>1603987</xdr:colOff>
      <xdr:row>0</xdr:row>
      <xdr:rowOff>619317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52ED0061-9052-46A2-9990-A33DEE8738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742793" y="29230"/>
          <a:ext cx="1538297" cy="590087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148829</xdr:colOff>
      <xdr:row>0</xdr:row>
      <xdr:rowOff>57566</xdr:rowOff>
    </xdr:from>
    <xdr:to>
      <xdr:col>0</xdr:col>
      <xdr:colOff>1302369</xdr:colOff>
      <xdr:row>2</xdr:row>
      <xdr:rowOff>95249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0096310-DA5C-4631-A59E-DF742E21EA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8829" y="57566"/>
          <a:ext cx="1153540" cy="442496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460562</xdr:colOff>
      <xdr:row>6</xdr:row>
      <xdr:rowOff>152960</xdr:rowOff>
    </xdr:from>
    <xdr:to>
      <xdr:col>19</xdr:col>
      <xdr:colOff>604138</xdr:colOff>
      <xdr:row>29</xdr:row>
      <xdr:rowOff>115466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FC18079-5D6F-46EE-872A-C9D4976C81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842562" y="1676960"/>
          <a:ext cx="4984517" cy="4344006"/>
        </a:xfrm>
        <a:prstGeom prst="rect">
          <a:avLst/>
        </a:prstGeom>
      </xdr:spPr>
    </xdr:pic>
    <xdr:clientData/>
  </xdr:twoCellAnchor>
  <xdr:twoCellAnchor editAs="oneCell">
    <xdr:from>
      <xdr:col>11</xdr:col>
      <xdr:colOff>307601</xdr:colOff>
      <xdr:row>0</xdr:row>
      <xdr:rowOff>45944</xdr:rowOff>
    </xdr:from>
    <xdr:to>
      <xdr:col>17</xdr:col>
      <xdr:colOff>586988</xdr:colOff>
      <xdr:row>5</xdr:row>
      <xdr:rowOff>176980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AA9971C4-CCC2-07DB-F83E-7F69EF61D4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689601" y="45944"/>
          <a:ext cx="3910093" cy="1464536"/>
        </a:xfrm>
        <a:prstGeom prst="rect">
          <a:avLst/>
        </a:prstGeom>
      </xdr:spPr>
    </xdr:pic>
    <xdr:clientData/>
  </xdr:twoCellAnchor>
  <xdr:twoCellAnchor editAs="oneCell">
    <xdr:from>
      <xdr:col>6</xdr:col>
      <xdr:colOff>421343</xdr:colOff>
      <xdr:row>16</xdr:row>
      <xdr:rowOff>81803</xdr:rowOff>
    </xdr:from>
    <xdr:to>
      <xdr:col>10</xdr:col>
      <xdr:colOff>417965</xdr:colOff>
      <xdr:row>24</xdr:row>
      <xdr:rowOff>110378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CCDBB26-DBC4-FFAB-0B50-A67752EF00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777755" y="3510803"/>
          <a:ext cx="2417092" cy="155257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161925</xdr:colOff>
      <xdr:row>2</xdr:row>
      <xdr:rowOff>9525</xdr:rowOff>
    </xdr:from>
    <xdr:to>
      <xdr:col>16</xdr:col>
      <xdr:colOff>304800</xdr:colOff>
      <xdr:row>22</xdr:row>
      <xdr:rowOff>171450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D1EEB72-012D-ECCE-6B14-980CBA4EDA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76775" y="390525"/>
          <a:ext cx="5629275" cy="397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304800</xdr:colOff>
      <xdr:row>1</xdr:row>
      <xdr:rowOff>152400</xdr:rowOff>
    </xdr:from>
    <xdr:to>
      <xdr:col>18</xdr:col>
      <xdr:colOff>247650</xdr:colOff>
      <xdr:row>33</xdr:row>
      <xdr:rowOff>152400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A679698-50B5-2881-A8FC-E5BBAD70E3D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34100" y="342900"/>
          <a:ext cx="6038850" cy="6096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E746F-410A-4A2C-8227-26319D2D697D}">
  <sheetPr codeName="Sheet1"/>
  <dimension ref="A1:E10"/>
  <sheetViews>
    <sheetView workbookViewId="0">
      <selection activeCell="E10" sqref="E10"/>
    </sheetView>
  </sheetViews>
  <sheetFormatPr defaultRowHeight="15"/>
  <sheetData>
    <row r="1" spans="1:5">
      <c r="A1" s="24" t="s">
        <v>30</v>
      </c>
      <c r="B1" s="25" t="s">
        <v>39</v>
      </c>
      <c r="C1" s="25" t="s">
        <v>31</v>
      </c>
      <c r="D1" s="25" t="s">
        <v>32</v>
      </c>
      <c r="E1" s="25" t="s">
        <v>40</v>
      </c>
    </row>
    <row r="2" spans="1:5">
      <c r="A2" s="24" t="s">
        <v>33</v>
      </c>
      <c r="B2" s="25">
        <v>2</v>
      </c>
      <c r="C2" s="25">
        <v>2</v>
      </c>
      <c r="D2" s="25"/>
      <c r="E2" s="25"/>
    </row>
    <row r="3" spans="1:5">
      <c r="A3" s="24" t="s">
        <v>34</v>
      </c>
      <c r="B3" s="25">
        <v>2</v>
      </c>
      <c r="C3" s="25">
        <v>5</v>
      </c>
      <c r="D3" s="25"/>
      <c r="E3" s="25"/>
    </row>
    <row r="4" spans="1:5">
      <c r="A4" s="24" t="s">
        <v>35</v>
      </c>
      <c r="B4" s="25">
        <v>2</v>
      </c>
      <c r="C4" s="25">
        <v>10</v>
      </c>
      <c r="D4" s="25"/>
      <c r="E4" s="25"/>
    </row>
    <row r="5" spans="1:5">
      <c r="A5" s="24" t="s">
        <v>36</v>
      </c>
      <c r="B5" s="25">
        <v>2</v>
      </c>
      <c r="C5" s="25">
        <v>7</v>
      </c>
      <c r="D5" s="25"/>
      <c r="E5" s="25"/>
    </row>
    <row r="6" spans="1:5">
      <c r="A6" s="24" t="s">
        <v>37</v>
      </c>
      <c r="B6" s="25">
        <v>2</v>
      </c>
      <c r="C6" s="25">
        <v>6</v>
      </c>
      <c r="D6" s="25"/>
      <c r="E6" s="25"/>
    </row>
    <row r="7" spans="1:5">
      <c r="A7" s="24" t="s">
        <v>38</v>
      </c>
      <c r="B7" s="25">
        <v>2</v>
      </c>
      <c r="C7" s="25">
        <v>3</v>
      </c>
      <c r="D7" s="25"/>
      <c r="E7" s="25"/>
    </row>
    <row r="8" spans="1:5">
      <c r="B8" s="26"/>
      <c r="C8" s="26"/>
      <c r="D8" s="26"/>
      <c r="E8" s="26"/>
    </row>
    <row r="9" spans="1:5">
      <c r="B9" s="26"/>
      <c r="C9" s="26"/>
      <c r="D9" s="26"/>
      <c r="E9" s="26"/>
    </row>
    <row r="10" spans="1:5">
      <c r="B10" s="26"/>
      <c r="C10" s="26"/>
      <c r="D10" s="26"/>
      <c r="E10" s="2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1B164-FC67-4686-8A5F-7C01B5D376BC}">
  <sheetPr codeName="Sheet2"/>
  <dimension ref="A1:C11"/>
  <sheetViews>
    <sheetView workbookViewId="0">
      <selection activeCell="D7" sqref="D7"/>
    </sheetView>
  </sheetViews>
  <sheetFormatPr defaultRowHeight="15"/>
  <cols>
    <col min="1" max="1" width="12.42578125" customWidth="1"/>
    <col min="2" max="2" width="11.85546875" customWidth="1"/>
    <col min="3" max="3" width="12.85546875" customWidth="1"/>
    <col min="5" max="5" width="11.5703125" customWidth="1"/>
  </cols>
  <sheetData>
    <row r="1" spans="1:3">
      <c r="A1" s="24" t="s">
        <v>30</v>
      </c>
      <c r="B1" s="25" t="s">
        <v>31</v>
      </c>
      <c r="C1" s="25" t="s">
        <v>32</v>
      </c>
    </row>
    <row r="2" spans="1:3">
      <c r="A2" s="24" t="s">
        <v>33</v>
      </c>
      <c r="B2" s="25">
        <v>2</v>
      </c>
      <c r="C2" s="25"/>
    </row>
    <row r="3" spans="1:3">
      <c r="A3" s="24" t="s">
        <v>34</v>
      </c>
      <c r="B3" s="25">
        <v>5</v>
      </c>
      <c r="C3" s="25"/>
    </row>
    <row r="4" spans="1:3">
      <c r="A4" s="24" t="s">
        <v>35</v>
      </c>
      <c r="B4" s="25">
        <v>10</v>
      </c>
      <c r="C4" s="25"/>
    </row>
    <row r="5" spans="1:3">
      <c r="A5" s="24" t="s">
        <v>36</v>
      </c>
      <c r="B5" s="25">
        <v>7</v>
      </c>
      <c r="C5" s="25"/>
    </row>
    <row r="6" spans="1:3">
      <c r="A6" s="24" t="s">
        <v>37</v>
      </c>
      <c r="B6" s="25">
        <v>6</v>
      </c>
      <c r="C6" s="25"/>
    </row>
    <row r="7" spans="1:3">
      <c r="A7" s="24" t="s">
        <v>38</v>
      </c>
      <c r="B7" s="25">
        <v>3</v>
      </c>
      <c r="C7" s="25"/>
    </row>
    <row r="8" spans="1:3">
      <c r="B8" s="26"/>
      <c r="C8" s="26"/>
    </row>
    <row r="9" spans="1:3">
      <c r="B9" s="26"/>
      <c r="C9" s="26"/>
    </row>
    <row r="11" spans="1:3">
      <c r="A11" t="s">
        <v>39</v>
      </c>
      <c r="B11" s="25">
        <v>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889A27-35A4-4EC7-B2D3-6278D2AC349A}">
  <sheetPr codeName="Sheet8"/>
  <dimension ref="A1:E17"/>
  <sheetViews>
    <sheetView workbookViewId="0">
      <selection activeCell="F8" sqref="F8"/>
    </sheetView>
  </sheetViews>
  <sheetFormatPr defaultRowHeight="15"/>
  <cols>
    <col min="1" max="1" width="15.42578125" customWidth="1"/>
    <col min="2" max="2" width="15.85546875" customWidth="1"/>
    <col min="3" max="3" width="11.7109375" customWidth="1"/>
    <col min="4" max="4" width="19" customWidth="1"/>
  </cols>
  <sheetData>
    <row r="1" spans="1:5">
      <c r="A1" s="25" t="s">
        <v>44</v>
      </c>
      <c r="B1" s="25" t="s">
        <v>44</v>
      </c>
      <c r="C1" s="25" t="s">
        <v>44</v>
      </c>
      <c r="D1" s="25" t="s">
        <v>45</v>
      </c>
    </row>
    <row r="2" spans="1:5">
      <c r="A2" s="27">
        <v>0.22916666666666666</v>
      </c>
      <c r="B2" s="27">
        <v>0.83680555555555558</v>
      </c>
      <c r="C2" s="27"/>
      <c r="D2" s="28"/>
    </row>
    <row r="3" spans="1:5">
      <c r="A3" s="26"/>
      <c r="B3" s="26"/>
      <c r="C3" s="29" t="e">
        <f ca="1">_xlfn.FORMULATEXT(C2)</f>
        <v>#N/A</v>
      </c>
      <c r="D3" s="29" t="e">
        <f ca="1">_xlfn.FORMULATEXT(D2)</f>
        <v>#N/A</v>
      </c>
    </row>
    <row r="4" spans="1:5">
      <c r="A4" s="25" t="s">
        <v>46</v>
      </c>
      <c r="B4" s="25" t="s">
        <v>46</v>
      </c>
      <c r="C4" s="25" t="s">
        <v>45</v>
      </c>
      <c r="D4" s="26"/>
    </row>
    <row r="5" spans="1:5">
      <c r="A5" s="30">
        <v>45658.211805555555</v>
      </c>
      <c r="B5" s="30">
        <v>45659.047222222223</v>
      </c>
      <c r="C5" s="25"/>
      <c r="D5" s="26"/>
    </row>
    <row r="6" spans="1:5">
      <c r="A6" s="26"/>
      <c r="B6" s="26"/>
      <c r="C6" s="29" t="e">
        <f ca="1">_xlfn.FORMULATEXT(C5)</f>
        <v>#N/A</v>
      </c>
      <c r="D6" s="26"/>
    </row>
    <row r="8" spans="1:5">
      <c r="A8" t="s">
        <v>48</v>
      </c>
      <c r="B8" s="25">
        <v>45</v>
      </c>
      <c r="C8" t="s">
        <v>49</v>
      </c>
    </row>
    <row r="10" spans="1:5">
      <c r="A10" s="25" t="s">
        <v>46</v>
      </c>
      <c r="B10" s="25" t="s">
        <v>46</v>
      </c>
      <c r="C10" s="25" t="s">
        <v>47</v>
      </c>
      <c r="D10" s="25" t="s">
        <v>50</v>
      </c>
    </row>
    <row r="11" spans="1:5">
      <c r="A11" s="30">
        <v>45658.211805555555</v>
      </c>
      <c r="B11" s="30">
        <v>45658.630555555559</v>
      </c>
      <c r="C11" s="25"/>
      <c r="D11" s="25"/>
      <c r="E11" s="29" t="s">
        <v>51</v>
      </c>
    </row>
    <row r="12" spans="1:5">
      <c r="A12" s="30">
        <v>45658.211805555555</v>
      </c>
      <c r="B12" s="30">
        <v>45658.422222222223</v>
      </c>
      <c r="C12" s="25"/>
      <c r="D12" s="25"/>
      <c r="E12" s="29" t="s">
        <v>52</v>
      </c>
    </row>
    <row r="13" spans="1:5">
      <c r="A13" s="30">
        <v>45658.211805555555</v>
      </c>
      <c r="B13" s="30">
        <v>45658.463888888888</v>
      </c>
      <c r="C13" s="25"/>
      <c r="D13" s="25"/>
    </row>
    <row r="14" spans="1:5">
      <c r="A14" s="30">
        <v>45658.628472222219</v>
      </c>
      <c r="B14" s="30">
        <v>45659.047222222223</v>
      </c>
      <c r="C14" s="25"/>
      <c r="D14" s="25"/>
    </row>
    <row r="15" spans="1:5">
      <c r="A15" s="30">
        <v>45658.670138888891</v>
      </c>
      <c r="B15" s="30">
        <v>45659.088888888888</v>
      </c>
      <c r="C15" s="25"/>
      <c r="D15" s="25"/>
    </row>
    <row r="16" spans="1:5">
      <c r="A16" s="30">
        <v>45658.836805555555</v>
      </c>
      <c r="B16" s="30">
        <v>45659.047222222223</v>
      </c>
      <c r="C16" s="25"/>
      <c r="D16" s="25"/>
    </row>
    <row r="17" spans="1:4">
      <c r="A17" s="30">
        <v>45658.878472222219</v>
      </c>
      <c r="B17" s="30">
        <v>45659.088888888888</v>
      </c>
      <c r="C17" s="25"/>
      <c r="D17" s="25"/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493CBF-9D69-44B7-9965-336231761F33}">
  <sheetPr codeName="Sheet9"/>
  <dimension ref="A2:D9"/>
  <sheetViews>
    <sheetView workbookViewId="0">
      <selection activeCell="D2" sqref="D2"/>
    </sheetView>
  </sheetViews>
  <sheetFormatPr defaultRowHeight="15"/>
  <cols>
    <col min="4" max="4" width="17" customWidth="1"/>
  </cols>
  <sheetData>
    <row r="2" spans="1:4">
      <c r="A2" s="25">
        <v>1</v>
      </c>
      <c r="C2" s="26"/>
      <c r="D2" t="e">
        <f ca="1">_xlfn.FORMULATEXT(C2)</f>
        <v>#N/A</v>
      </c>
    </row>
    <row r="3" spans="1:4">
      <c r="A3" s="25">
        <v>2</v>
      </c>
    </row>
    <row r="4" spans="1:4">
      <c r="A4" s="25">
        <v>3</v>
      </c>
      <c r="C4" s="26"/>
      <c r="D4" t="e">
        <f ca="1">_xlfn.FORMULATEXT(C4)</f>
        <v>#N/A</v>
      </c>
    </row>
    <row r="5" spans="1:4">
      <c r="A5" s="25">
        <v>4</v>
      </c>
    </row>
    <row r="6" spans="1:4">
      <c r="A6" s="25">
        <v>1</v>
      </c>
      <c r="C6" s="26"/>
      <c r="D6" t="e">
        <f ca="1">_xlfn.FORMULATEXT(C6)</f>
        <v>#N/A</v>
      </c>
    </row>
    <row r="7" spans="1:4">
      <c r="A7" s="25">
        <v>2</v>
      </c>
      <c r="C7" s="26"/>
    </row>
    <row r="8" spans="1:4">
      <c r="A8" s="25">
        <v>3</v>
      </c>
      <c r="C8" s="26"/>
    </row>
    <row r="9" spans="1:4">
      <c r="A9" s="25">
        <v>4</v>
      </c>
      <c r="C9" s="26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5396D9-E6B1-4BD5-B210-F0F1CC5512CB}">
  <sheetPr codeName="Sheet3"/>
  <dimension ref="A1:E18"/>
  <sheetViews>
    <sheetView workbookViewId="0">
      <selection activeCell="C3" sqref="C3"/>
    </sheetView>
  </sheetViews>
  <sheetFormatPr defaultRowHeight="15"/>
  <cols>
    <col min="1" max="1" width="18.28515625" customWidth="1"/>
    <col min="2" max="2" width="17" customWidth="1"/>
    <col min="3" max="3" width="24.5703125" customWidth="1"/>
    <col min="4" max="4" width="14.7109375" customWidth="1"/>
    <col min="5" max="5" width="18" customWidth="1"/>
  </cols>
  <sheetData>
    <row r="1" spans="1:5">
      <c r="A1" s="32" t="s">
        <v>41</v>
      </c>
      <c r="B1">
        <v>10</v>
      </c>
    </row>
    <row r="3" spans="1:5">
      <c r="A3" s="36" t="s">
        <v>8</v>
      </c>
      <c r="B3" s="32"/>
      <c r="C3" s="31" t="e">
        <f ca="1">_xlfn.FORMULATEXT(B3)</f>
        <v>#N/A</v>
      </c>
    </row>
    <row r="4" spans="1:5">
      <c r="A4" s="36" t="s">
        <v>9</v>
      </c>
      <c r="B4" s="32"/>
      <c r="C4" s="31" t="e">
        <f ca="1">_xlfn.FORMULATEXT(B4)</f>
        <v>#N/A</v>
      </c>
    </row>
    <row r="5" spans="1:5">
      <c r="A5" s="36" t="s">
        <v>10</v>
      </c>
      <c r="B5" s="32"/>
      <c r="C5" s="31" t="e">
        <f ca="1">_xlfn.FORMULATEXT(B5)</f>
        <v>#N/A</v>
      </c>
    </row>
    <row r="6" spans="1:5">
      <c r="A6" s="36" t="s">
        <v>6</v>
      </c>
      <c r="B6" s="32"/>
      <c r="C6" s="31" t="e">
        <f ca="1">_xlfn.FORMULATEXT(B6)</f>
        <v>#N/A</v>
      </c>
    </row>
    <row r="7" spans="1:5">
      <c r="A7" s="36"/>
    </row>
    <row r="8" spans="1:5">
      <c r="A8" s="36"/>
    </row>
    <row r="9" spans="1:5">
      <c r="A9" s="36" t="s">
        <v>42</v>
      </c>
      <c r="B9">
        <v>10</v>
      </c>
      <c r="C9" s="32"/>
    </row>
    <row r="10" spans="1:5">
      <c r="A10" s="36"/>
      <c r="B10">
        <v>10.11</v>
      </c>
      <c r="C10" s="32"/>
    </row>
    <row r="11" spans="1:5">
      <c r="A11" s="36"/>
    </row>
    <row r="12" spans="1:5">
      <c r="A12" s="36" t="s">
        <v>43</v>
      </c>
      <c r="B12">
        <v>1234.567</v>
      </c>
      <c r="C12" s="32"/>
      <c r="E12" t="s">
        <v>53</v>
      </c>
    </row>
    <row r="13" spans="1:5">
      <c r="B13">
        <v>1234.567</v>
      </c>
      <c r="C13" s="32"/>
      <c r="E13" t="s">
        <v>54</v>
      </c>
    </row>
    <row r="14" spans="1:5">
      <c r="B14">
        <v>0.28499999999999998</v>
      </c>
      <c r="C14" s="32"/>
      <c r="E14" t="s">
        <v>55</v>
      </c>
    </row>
    <row r="15" spans="1:5">
      <c r="B15">
        <v>1234</v>
      </c>
      <c r="C15" s="32"/>
      <c r="E15" t="s">
        <v>56</v>
      </c>
    </row>
    <row r="16" spans="1:5">
      <c r="A16" s="34" t="str">
        <f ca="1">_xlfn.FORMULATEXT(B16)</f>
        <v>=TODAY()</v>
      </c>
      <c r="B16" s="33">
        <f ca="1">TODAY()</f>
        <v>46271</v>
      </c>
      <c r="C16" s="32"/>
      <c r="E16" t="s">
        <v>57</v>
      </c>
    </row>
    <row r="17" spans="1:5">
      <c r="A17" s="34" t="str">
        <f ca="1">_xlfn.FORMULATEXT(B17)</f>
        <v>=TODAY()</v>
      </c>
      <c r="B17" s="33">
        <f ca="1">TODAY()</f>
        <v>46271</v>
      </c>
      <c r="C17" s="32"/>
      <c r="E17" t="s">
        <v>58</v>
      </c>
    </row>
    <row r="18" spans="1:5">
      <c r="A18" s="34" t="str">
        <f ca="1">_xlfn.FORMULATEXT(B18)</f>
        <v>=NOW()</v>
      </c>
      <c r="B18" s="35">
        <f ca="1">NOW()</f>
        <v>46271.409102777776</v>
      </c>
      <c r="C18" s="32"/>
      <c r="E18" t="s">
        <v>59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E28"/>
  <sheetViews>
    <sheetView zoomScale="115" zoomScaleNormal="115" workbookViewId="0">
      <selection activeCell="E12" sqref="E12"/>
    </sheetView>
  </sheetViews>
  <sheetFormatPr defaultColWidth="9.140625" defaultRowHeight="15.75"/>
  <cols>
    <col min="1" max="1" width="18.28515625" style="4" customWidth="1"/>
    <col min="2" max="2" width="16.140625" style="3" customWidth="1"/>
    <col min="3" max="3" width="18.42578125" style="3" customWidth="1"/>
    <col min="4" max="4" width="18.7109375" style="3" customWidth="1"/>
    <col min="5" max="5" width="21.85546875" style="3" customWidth="1"/>
    <col min="6" max="16384" width="9.140625" style="3"/>
  </cols>
  <sheetData>
    <row r="1" spans="1:5" ht="89.25" customHeight="1">
      <c r="B1" s="13"/>
      <c r="C1" s="13"/>
      <c r="D1" s="13"/>
    </row>
    <row r="2" spans="1:5">
      <c r="A2" s="4" t="s">
        <v>11</v>
      </c>
      <c r="B2" s="6">
        <v>5</v>
      </c>
      <c r="C2" s="6">
        <v>3</v>
      </c>
      <c r="D2" s="6">
        <v>4</v>
      </c>
    </row>
    <row r="3" spans="1:5">
      <c r="B3" s="2" t="s">
        <v>0</v>
      </c>
      <c r="C3" s="2" t="s">
        <v>1</v>
      </c>
      <c r="D3" s="2" t="s">
        <v>2</v>
      </c>
      <c r="E3" s="2" t="s">
        <v>1</v>
      </c>
    </row>
    <row r="4" spans="1:5">
      <c r="A4" s="5">
        <v>123450036789</v>
      </c>
      <c r="B4" s="15"/>
      <c r="C4" s="15"/>
      <c r="D4" s="15"/>
    </row>
    <row r="5" spans="1:5">
      <c r="B5" s="7" t="e">
        <f ca="1">_xlfn.FORMULATEXT(B4)</f>
        <v>#N/A</v>
      </c>
      <c r="C5" s="7" t="e">
        <f t="shared" ref="C5:D5" ca="1" si="0">_xlfn.FORMULATEXT(C4)</f>
        <v>#N/A</v>
      </c>
      <c r="D5" s="7" t="e">
        <f t="shared" ca="1" si="0"/>
        <v>#N/A</v>
      </c>
    </row>
    <row r="7" spans="1:5">
      <c r="B7" s="1" t="e">
        <f ca="1">_xlfn.FORMULATEXT(B8)</f>
        <v>#N/A</v>
      </c>
      <c r="C7" s="1" t="e">
        <f t="shared" ref="C7:E7" ca="1" si="1">_xlfn.FORMULATEXT(C8)</f>
        <v>#N/A</v>
      </c>
      <c r="D7" s="1" t="e">
        <f t="shared" ca="1" si="1"/>
        <v>#N/A</v>
      </c>
      <c r="E7" s="1" t="e">
        <f t="shared" ca="1" si="1"/>
        <v>#N/A</v>
      </c>
    </row>
    <row r="8" spans="1:5">
      <c r="A8" s="5">
        <v>123450036789</v>
      </c>
      <c r="B8" s="15"/>
      <c r="C8" s="15"/>
      <c r="D8" s="15"/>
      <c r="E8" s="15"/>
    </row>
    <row r="9" spans="1:5">
      <c r="A9" s="5">
        <v>912345003678</v>
      </c>
      <c r="B9" s="15"/>
      <c r="C9" s="15"/>
      <c r="D9" s="15"/>
      <c r="E9" s="15"/>
    </row>
    <row r="10" spans="1:5">
      <c r="A10" s="5">
        <v>891234500367</v>
      </c>
      <c r="B10" s="15"/>
      <c r="C10" s="15"/>
      <c r="D10" s="15"/>
      <c r="E10" s="15"/>
    </row>
    <row r="11" spans="1:5">
      <c r="A11" s="5">
        <v>789123450036</v>
      </c>
      <c r="B11" s="15"/>
      <c r="C11" s="15"/>
      <c r="D11" s="15"/>
      <c r="E11" s="15"/>
    </row>
    <row r="12" spans="1:5">
      <c r="A12" s="3"/>
    </row>
    <row r="13" spans="1:5">
      <c r="A13" s="3"/>
    </row>
    <row r="14" spans="1:5">
      <c r="A14" s="3"/>
    </row>
    <row r="15" spans="1:5">
      <c r="A15" s="3"/>
    </row>
    <row r="16" spans="1:5">
      <c r="A16" s="3"/>
    </row>
    <row r="17" spans="1:1">
      <c r="A17" s="3"/>
    </row>
    <row r="18" spans="1:1">
      <c r="A18" s="3"/>
    </row>
    <row r="19" spans="1:1">
      <c r="A19" s="3"/>
    </row>
    <row r="20" spans="1:1">
      <c r="A20" s="3"/>
    </row>
    <row r="21" spans="1:1">
      <c r="A21" s="3"/>
    </row>
    <row r="22" spans="1:1">
      <c r="A22" s="3"/>
    </row>
    <row r="23" spans="1:1">
      <c r="A23" s="3"/>
    </row>
    <row r="24" spans="1:1">
      <c r="A24" s="3"/>
    </row>
    <row r="25" spans="1:1">
      <c r="A25" s="3"/>
    </row>
    <row r="26" spans="1:1">
      <c r="A26" s="3"/>
    </row>
    <row r="27" spans="1:1">
      <c r="A27" s="3"/>
    </row>
    <row r="28" spans="1:1">
      <c r="A28" s="3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9A3A75-1ED2-4EEC-B81C-F87BB7149440}">
  <sheetPr codeName="Sheet5"/>
  <dimension ref="A1:F12"/>
  <sheetViews>
    <sheetView topLeftCell="A2" zoomScale="145" zoomScaleNormal="145" workbookViewId="0">
      <selection activeCell="C3" sqref="C3"/>
    </sheetView>
  </sheetViews>
  <sheetFormatPr defaultRowHeight="15"/>
  <cols>
    <col min="1" max="1" width="47.28515625" customWidth="1"/>
    <col min="2" max="2" width="4.85546875" customWidth="1"/>
    <col min="3" max="3" width="18" customWidth="1"/>
    <col min="4" max="4" width="31.140625" customWidth="1"/>
    <col min="5" max="5" width="6.28515625" customWidth="1"/>
  </cols>
  <sheetData>
    <row r="1" spans="1:6" ht="54" customHeight="1">
      <c r="D1" s="14"/>
    </row>
    <row r="2" spans="1:6" ht="34.5" customHeight="1"/>
    <row r="3" spans="1:6" ht="18.75">
      <c r="A3" s="12" t="s">
        <v>23</v>
      </c>
    </row>
    <row r="4" spans="1:6" s="3" customFormat="1" ht="17.100000000000001" customHeight="1">
      <c r="A4" s="8" t="s">
        <v>11</v>
      </c>
      <c r="C4" s="15"/>
      <c r="D4" s="1" t="e">
        <f t="shared" ref="D4:D12" ca="1" si="0">_xlfn.FORMULATEXT(C4)</f>
        <v>#N/A</v>
      </c>
      <c r="E4" s="9" t="s">
        <v>6</v>
      </c>
    </row>
    <row r="5" spans="1:6" s="3" customFormat="1" ht="17.100000000000001" customHeight="1">
      <c r="A5" s="8" t="s">
        <v>12</v>
      </c>
      <c r="C5" s="15"/>
      <c r="D5" s="1" t="e">
        <f t="shared" ca="1" si="0"/>
        <v>#N/A</v>
      </c>
      <c r="E5" s="9" t="s">
        <v>7</v>
      </c>
    </row>
    <row r="6" spans="1:6" s="3" customFormat="1" ht="17.100000000000001" customHeight="1">
      <c r="A6" s="8" t="s">
        <v>14</v>
      </c>
      <c r="C6" s="15"/>
      <c r="D6" s="1" t="e">
        <f t="shared" ca="1" si="0"/>
        <v>#N/A</v>
      </c>
      <c r="E6" s="9" t="s">
        <v>10</v>
      </c>
    </row>
    <row r="7" spans="1:6" s="3" customFormat="1" ht="17.100000000000001" customHeight="1">
      <c r="A7" s="8" t="s">
        <v>15</v>
      </c>
      <c r="C7" s="15"/>
      <c r="D7" s="1" t="e">
        <f t="shared" ca="1" si="0"/>
        <v>#N/A</v>
      </c>
      <c r="E7" s="9" t="s">
        <v>10</v>
      </c>
      <c r="F7" s="3" t="s">
        <v>26</v>
      </c>
    </row>
    <row r="8" spans="1:6" s="3" customFormat="1" ht="17.100000000000001" customHeight="1">
      <c r="A8" s="8" t="s">
        <v>13</v>
      </c>
      <c r="C8" s="15"/>
      <c r="D8" s="1" t="e">
        <f t="shared" ca="1" si="0"/>
        <v>#N/A</v>
      </c>
      <c r="E8" s="9" t="s">
        <v>8</v>
      </c>
    </row>
    <row r="9" spans="1:6" s="3" customFormat="1" ht="17.100000000000001" customHeight="1">
      <c r="A9" s="8" t="s">
        <v>27</v>
      </c>
      <c r="B9" s="10"/>
      <c r="C9" s="15"/>
      <c r="D9" s="1" t="e">
        <f t="shared" ca="1" si="0"/>
        <v>#N/A</v>
      </c>
      <c r="E9" s="9" t="s">
        <v>22</v>
      </c>
    </row>
    <row r="10" spans="1:6" s="3" customFormat="1" ht="17.100000000000001" customHeight="1">
      <c r="A10" s="8" t="s">
        <v>28</v>
      </c>
      <c r="B10" s="10"/>
      <c r="C10" s="15"/>
      <c r="D10" s="1" t="e">
        <f t="shared" ca="1" si="0"/>
        <v>#N/A</v>
      </c>
      <c r="E10" s="9" t="s">
        <v>5</v>
      </c>
    </row>
    <row r="11" spans="1:6" s="3" customFormat="1" ht="17.100000000000001" customHeight="1">
      <c r="A11" s="8" t="s">
        <v>29</v>
      </c>
      <c r="B11" s="10"/>
      <c r="C11" s="15"/>
      <c r="D11" s="1" t="e">
        <f t="shared" ca="1" si="0"/>
        <v>#N/A</v>
      </c>
      <c r="E11" s="9" t="s">
        <v>4</v>
      </c>
    </row>
    <row r="12" spans="1:6" s="3" customFormat="1" ht="17.100000000000001" customHeight="1">
      <c r="A12" s="8" t="s">
        <v>25</v>
      </c>
      <c r="C12" s="16"/>
      <c r="D12" s="1" t="e">
        <f t="shared" ca="1" si="0"/>
        <v>#N/A</v>
      </c>
      <c r="E12" s="9" t="s">
        <v>24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DD2DED-B5FC-433E-A605-813B39DCBD36}">
  <sheetPr codeName="Sheet6"/>
  <dimension ref="A1:D9"/>
  <sheetViews>
    <sheetView topLeftCell="A6" zoomScale="160" zoomScaleNormal="160" workbookViewId="0">
      <selection activeCell="B17" sqref="B17"/>
    </sheetView>
  </sheetViews>
  <sheetFormatPr defaultRowHeight="15.75"/>
  <cols>
    <col min="1" max="1" width="45.28515625" style="3" customWidth="1"/>
    <col min="2" max="2" width="27" customWidth="1"/>
    <col min="3" max="3" width="19.140625" customWidth="1"/>
    <col min="4" max="4" width="17.85546875" customWidth="1"/>
    <col min="5" max="5" width="8" customWidth="1"/>
  </cols>
  <sheetData>
    <row r="1" spans="1:4">
      <c r="A1" s="23" t="s">
        <v>19</v>
      </c>
      <c r="B1" s="2">
        <v>14</v>
      </c>
      <c r="C1" s="2">
        <v>6</v>
      </c>
      <c r="D1" s="2">
        <v>7</v>
      </c>
    </row>
    <row r="2" spans="1:4">
      <c r="A2" s="23" t="s">
        <v>21</v>
      </c>
      <c r="B2" s="18" t="s">
        <v>17</v>
      </c>
      <c r="C2" s="18" t="s">
        <v>3</v>
      </c>
      <c r="D2" s="18" t="s">
        <v>18</v>
      </c>
    </row>
    <row r="3" spans="1:4">
      <c r="A3" s="23" t="s">
        <v>9</v>
      </c>
      <c r="B3" s="19">
        <f>FIND(B2,$A$4) + LEN(B2)</f>
        <v>5</v>
      </c>
      <c r="C3" s="19">
        <f>FIND(C2,$A$4) + LEN(C2)</f>
        <v>23</v>
      </c>
      <c r="D3" s="19">
        <f>FIND(D2,$A$4) + LEN(D2)</f>
        <v>33</v>
      </c>
    </row>
    <row r="4" spans="1:4">
      <c r="A4" s="11" t="s">
        <v>16</v>
      </c>
      <c r="B4" s="20"/>
      <c r="C4" s="20"/>
      <c r="D4" s="20"/>
    </row>
    <row r="5" spans="1:4">
      <c r="A5" s="11"/>
      <c r="B5" s="9" t="e">
        <f ca="1">_xlfn.FORMULATEXT(B4)</f>
        <v>#N/A</v>
      </c>
      <c r="C5" s="9"/>
      <c r="D5" s="3"/>
    </row>
    <row r="6" spans="1:4">
      <c r="A6" s="11"/>
      <c r="B6" s="3"/>
      <c r="C6" s="3"/>
      <c r="D6" s="3"/>
    </row>
    <row r="7" spans="1:4">
      <c r="A7" s="11"/>
      <c r="B7" s="21" t="e">
        <f ca="1">_xlfn.FORMULATEXT(B8)</f>
        <v>#N/A</v>
      </c>
      <c r="C7" s="3"/>
      <c r="D7" s="3"/>
    </row>
    <row r="8" spans="1:4">
      <c r="A8" s="11" t="s">
        <v>20</v>
      </c>
      <c r="B8" s="22"/>
      <c r="C8" s="17"/>
      <c r="D8" s="17"/>
    </row>
    <row r="9" spans="1:4">
      <c r="A9" s="11" t="s">
        <v>16</v>
      </c>
      <c r="B9" s="17"/>
      <c r="C9" s="17"/>
      <c r="D9" s="17"/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75A7BB-1D89-4662-9CD0-475D1713F0CD}">
  <sheetPr codeName="Sheet7"/>
  <dimension ref="A1:F5"/>
  <sheetViews>
    <sheetView workbookViewId="0">
      <selection activeCell="C11" sqref="C11"/>
    </sheetView>
  </sheetViews>
  <sheetFormatPr defaultRowHeight="15"/>
  <cols>
    <col min="1" max="1" width="14.85546875" customWidth="1"/>
    <col min="2" max="2" width="19" customWidth="1"/>
    <col min="3" max="3" width="33.5703125" customWidth="1"/>
    <col min="4" max="4" width="14.140625" customWidth="1"/>
    <col min="5" max="5" width="15" customWidth="1"/>
  </cols>
  <sheetData>
    <row r="1" spans="1:6">
      <c r="C1" t="s">
        <v>60</v>
      </c>
    </row>
    <row r="2" spans="1:6" ht="28.5" customHeight="1">
      <c r="B2" s="40">
        <v>123450036789</v>
      </c>
      <c r="C2" s="38"/>
      <c r="D2" s="31" t="e">
        <f ca="1">_xlfn.FORMULATEXT(C2)</f>
        <v>#N/A</v>
      </c>
      <c r="F2" s="37"/>
    </row>
    <row r="3" spans="1:6" ht="24.75" customHeight="1">
      <c r="B3" s="40">
        <v>123450036789</v>
      </c>
      <c r="D3" s="31" t="e">
        <f ca="1">_xlfn.FORMULATEXT(C3)</f>
        <v>#N/A</v>
      </c>
    </row>
    <row r="5" spans="1:6" ht="23.25">
      <c r="A5" t="s">
        <v>62</v>
      </c>
      <c r="B5" s="39" t="s">
        <v>61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733160-5867-4E9A-9398-8FC488F1ABB0}">
  <sheetPr codeName="Sheet10"/>
  <dimension ref="A1:D9"/>
  <sheetViews>
    <sheetView workbookViewId="0">
      <selection activeCell="G17" sqref="G17"/>
    </sheetView>
  </sheetViews>
  <sheetFormatPr defaultRowHeight="15"/>
  <cols>
    <col min="2" max="2" width="14.140625" customWidth="1"/>
  </cols>
  <sheetData>
    <row r="1" spans="1:4">
      <c r="A1" t="s">
        <v>82</v>
      </c>
      <c r="B1" t="s">
        <v>83</v>
      </c>
    </row>
    <row r="3" spans="1:4">
      <c r="A3" s="25" t="s">
        <v>0</v>
      </c>
      <c r="B3" s="25" t="s">
        <v>84</v>
      </c>
      <c r="C3" s="25" t="s">
        <v>85</v>
      </c>
      <c r="D3" s="25" t="s">
        <v>86</v>
      </c>
    </row>
    <row r="4" spans="1:4">
      <c r="A4" s="24">
        <v>1</v>
      </c>
      <c r="B4" s="24" t="str">
        <f xml:space="preserve"> "นักศึกษา " &amp; A4</f>
        <v>นักศึกษา 1</v>
      </c>
      <c r="C4" s="25">
        <v>75</v>
      </c>
      <c r="D4" s="24"/>
    </row>
    <row r="5" spans="1:4">
      <c r="A5" s="24">
        <v>2</v>
      </c>
      <c r="B5" s="24" t="str">
        <f t="shared" ref="B5:B9" si="0" xml:space="preserve"> "นักศึกษา " &amp; A5</f>
        <v>นักศึกษา 2</v>
      </c>
      <c r="C5" s="25">
        <v>82</v>
      </c>
      <c r="D5" s="24"/>
    </row>
    <row r="6" spans="1:4">
      <c r="A6" s="24">
        <v>3</v>
      </c>
      <c r="B6" s="24" t="str">
        <f t="shared" si="0"/>
        <v>นักศึกษา 3</v>
      </c>
      <c r="C6" s="25">
        <v>50</v>
      </c>
      <c r="D6" s="24"/>
    </row>
    <row r="7" spans="1:4">
      <c r="A7" s="24">
        <v>4</v>
      </c>
      <c r="B7" s="24" t="str">
        <f t="shared" si="0"/>
        <v>นักศึกษา 4</v>
      </c>
      <c r="C7" s="25">
        <v>45</v>
      </c>
      <c r="D7" s="24"/>
    </row>
    <row r="8" spans="1:4">
      <c r="A8" s="24">
        <v>5</v>
      </c>
      <c r="B8" s="24" t="str">
        <f t="shared" si="0"/>
        <v>นักศึกษา 5</v>
      </c>
      <c r="C8" s="25">
        <v>54</v>
      </c>
      <c r="D8" s="24"/>
    </row>
    <row r="9" spans="1:4">
      <c r="A9" s="24">
        <v>6</v>
      </c>
      <c r="B9" s="24" t="str">
        <f t="shared" si="0"/>
        <v>นักศึกษา 6</v>
      </c>
      <c r="C9" s="25">
        <v>45</v>
      </c>
      <c r="D9" s="24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0AFBC-74F5-4175-A65C-BB9593267284}">
  <sheetPr codeName="Sheet11"/>
  <dimension ref="A1:F15"/>
  <sheetViews>
    <sheetView tabSelected="1" zoomScale="85" zoomScaleNormal="85" workbookViewId="0">
      <selection activeCell="I13" sqref="I13"/>
    </sheetView>
  </sheetViews>
  <sheetFormatPr defaultRowHeight="15"/>
  <cols>
    <col min="2" max="2" width="18.5703125" customWidth="1"/>
    <col min="3" max="3" width="14.85546875" customWidth="1"/>
    <col min="4" max="4" width="14" customWidth="1"/>
    <col min="5" max="5" width="14.85546875" customWidth="1"/>
  </cols>
  <sheetData>
    <row r="1" spans="1:6" ht="45" customHeight="1">
      <c r="A1" s="25" t="s">
        <v>63</v>
      </c>
      <c r="B1" s="41" t="s">
        <v>64</v>
      </c>
      <c r="C1" s="41" t="s">
        <v>65</v>
      </c>
      <c r="D1" s="41" t="s">
        <v>66</v>
      </c>
      <c r="E1" s="42" t="s">
        <v>67</v>
      </c>
      <c r="F1" s="25" t="s">
        <v>68</v>
      </c>
    </row>
    <row r="2" spans="1:6">
      <c r="A2" s="25">
        <v>1</v>
      </c>
      <c r="B2" s="25" t="s">
        <v>69</v>
      </c>
      <c r="C2" s="25">
        <v>500</v>
      </c>
      <c r="D2" s="25">
        <v>20</v>
      </c>
      <c r="E2" s="24"/>
      <c r="F2" s="24"/>
    </row>
    <row r="3" spans="1:6">
      <c r="A3" s="25">
        <v>2</v>
      </c>
      <c r="B3" s="25" t="s">
        <v>70</v>
      </c>
      <c r="C3" s="43">
        <v>1500</v>
      </c>
      <c r="D3" s="25">
        <v>2</v>
      </c>
      <c r="E3" s="24"/>
      <c r="F3" s="24"/>
    </row>
    <row r="4" spans="1:6">
      <c r="A4" s="25">
        <v>3</v>
      </c>
      <c r="B4" s="25" t="s">
        <v>71</v>
      </c>
      <c r="C4" s="43">
        <v>2300</v>
      </c>
      <c r="D4" s="25">
        <v>3</v>
      </c>
      <c r="E4" s="24"/>
      <c r="F4" s="24"/>
    </row>
    <row r="5" spans="1:6">
      <c r="A5" s="25">
        <v>4</v>
      </c>
      <c r="B5" s="25" t="s">
        <v>72</v>
      </c>
      <c r="C5" s="43">
        <v>2360</v>
      </c>
      <c r="D5" s="25">
        <v>30</v>
      </c>
      <c r="E5" s="24"/>
      <c r="F5" s="24"/>
    </row>
    <row r="6" spans="1:6">
      <c r="A6" s="25">
        <v>5</v>
      </c>
      <c r="B6" s="25" t="s">
        <v>73</v>
      </c>
      <c r="C6" s="43">
        <v>5060</v>
      </c>
      <c r="D6" s="25">
        <v>0.85</v>
      </c>
      <c r="E6" s="24"/>
      <c r="F6" s="24"/>
    </row>
    <row r="7" spans="1:6">
      <c r="A7" s="25">
        <v>6</v>
      </c>
      <c r="B7" s="25" t="s">
        <v>74</v>
      </c>
      <c r="C7" s="43">
        <v>6260</v>
      </c>
      <c r="D7" s="25">
        <v>5.25</v>
      </c>
      <c r="E7" s="24"/>
      <c r="F7" s="24"/>
    </row>
    <row r="8" spans="1:6">
      <c r="A8" s="25">
        <v>7</v>
      </c>
      <c r="B8" s="25" t="s">
        <v>75</v>
      </c>
      <c r="C8" s="43">
        <v>7210</v>
      </c>
      <c r="D8" s="25">
        <v>4.5</v>
      </c>
      <c r="E8" s="24"/>
      <c r="F8" s="24"/>
    </row>
    <row r="9" spans="1:6">
      <c r="A9" s="25">
        <v>8</v>
      </c>
      <c r="B9" s="25" t="s">
        <v>76</v>
      </c>
      <c r="C9" s="43">
        <v>11017</v>
      </c>
      <c r="D9" s="25">
        <v>0.25</v>
      </c>
      <c r="E9" s="24"/>
      <c r="F9" s="24"/>
    </row>
    <row r="10" spans="1:6">
      <c r="A10" s="25">
        <v>9</v>
      </c>
      <c r="B10" s="25" t="s">
        <v>77</v>
      </c>
      <c r="C10" s="43">
        <v>14037</v>
      </c>
      <c r="D10" s="25">
        <v>15</v>
      </c>
      <c r="E10" s="24"/>
      <c r="F10" s="24"/>
    </row>
    <row r="11" spans="1:6">
      <c r="A11" s="25">
        <v>10</v>
      </c>
      <c r="B11" s="25" t="s">
        <v>78</v>
      </c>
      <c r="C11" s="43">
        <v>15437</v>
      </c>
      <c r="D11" s="25">
        <v>0.35</v>
      </c>
      <c r="E11" s="24"/>
      <c r="F11" s="24"/>
    </row>
    <row r="12" spans="1:6">
      <c r="A12" s="25">
        <v>11</v>
      </c>
      <c r="B12" s="25" t="s">
        <v>79</v>
      </c>
      <c r="C12" s="43">
        <v>15537</v>
      </c>
      <c r="D12" s="25">
        <v>7</v>
      </c>
      <c r="E12" s="24"/>
      <c r="F12" s="24"/>
    </row>
    <row r="13" spans="1:6">
      <c r="A13" s="25">
        <v>12</v>
      </c>
      <c r="B13" s="25">
        <v>19</v>
      </c>
      <c r="C13" s="43">
        <v>15787</v>
      </c>
      <c r="D13" s="25">
        <v>12</v>
      </c>
      <c r="E13" s="24"/>
      <c r="F13" s="24"/>
    </row>
    <row r="14" spans="1:6">
      <c r="A14" s="25">
        <v>13</v>
      </c>
      <c r="B14" s="25" t="s">
        <v>80</v>
      </c>
      <c r="C14" s="43">
        <v>17287</v>
      </c>
      <c r="D14" s="25">
        <v>1.5</v>
      </c>
      <c r="E14" s="24"/>
      <c r="F14" s="24"/>
    </row>
    <row r="15" spans="1:6">
      <c r="A15" s="25">
        <v>14</v>
      </c>
      <c r="B15" s="25" t="s">
        <v>81</v>
      </c>
      <c r="C15" s="43">
        <v>17327</v>
      </c>
      <c r="D15" s="25">
        <v>25</v>
      </c>
      <c r="E15" s="24"/>
      <c r="F15" s="24"/>
    </row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876096-3FC5-4FA2-9B8D-D13BFAC565A9}">
  <dimension ref="A1:H79"/>
  <sheetViews>
    <sheetView workbookViewId="0">
      <selection activeCell="E7" sqref="E7"/>
    </sheetView>
  </sheetViews>
  <sheetFormatPr defaultRowHeight="15"/>
  <cols>
    <col min="1" max="1" width="12.85546875" customWidth="1"/>
  </cols>
  <sheetData>
    <row r="1" spans="1:8">
      <c r="A1" s="25" t="s">
        <v>126</v>
      </c>
      <c r="B1" s="25" t="s">
        <v>129</v>
      </c>
      <c r="C1" s="25" t="s">
        <v>129</v>
      </c>
      <c r="H1" t="s">
        <v>131</v>
      </c>
    </row>
    <row r="2" spans="1:8">
      <c r="A2" s="25">
        <v>1</v>
      </c>
      <c r="B2" s="25" t="s">
        <v>115</v>
      </c>
      <c r="C2" s="25"/>
    </row>
    <row r="3" spans="1:8">
      <c r="A3" s="25">
        <v>2</v>
      </c>
      <c r="B3" s="25" t="s">
        <v>116</v>
      </c>
      <c r="C3" s="25"/>
    </row>
    <row r="4" spans="1:8">
      <c r="A4" s="25">
        <v>3</v>
      </c>
      <c r="B4" s="25" t="s">
        <v>117</v>
      </c>
      <c r="C4" s="25"/>
    </row>
    <row r="5" spans="1:8">
      <c r="A5" s="25">
        <v>4</v>
      </c>
      <c r="B5" s="25" t="s">
        <v>118</v>
      </c>
      <c r="C5" s="25"/>
    </row>
    <row r="6" spans="1:8">
      <c r="A6" s="25">
        <v>5</v>
      </c>
      <c r="B6" s="25" t="s">
        <v>119</v>
      </c>
      <c r="C6" s="25"/>
    </row>
    <row r="7" spans="1:8">
      <c r="A7" s="25">
        <v>6</v>
      </c>
      <c r="B7" s="25" t="s">
        <v>120</v>
      </c>
      <c r="C7" s="25"/>
    </row>
    <row r="8" spans="1:8">
      <c r="A8" s="25">
        <v>7</v>
      </c>
      <c r="B8" s="25" t="s">
        <v>121</v>
      </c>
      <c r="C8" s="25"/>
    </row>
    <row r="9" spans="1:8">
      <c r="A9" s="25">
        <v>8</v>
      </c>
      <c r="B9" s="25" t="s">
        <v>122</v>
      </c>
      <c r="C9" s="25"/>
    </row>
    <row r="10" spans="1:8">
      <c r="A10" s="25">
        <v>9</v>
      </c>
      <c r="B10" s="25" t="s">
        <v>123</v>
      </c>
      <c r="C10" s="25"/>
    </row>
    <row r="11" spans="1:8">
      <c r="A11" s="25">
        <v>10</v>
      </c>
      <c r="B11" s="25" t="s">
        <v>124</v>
      </c>
      <c r="C11" s="25"/>
    </row>
    <row r="12" spans="1:8">
      <c r="A12" s="25">
        <v>11</v>
      </c>
      <c r="B12" s="25" t="s">
        <v>117</v>
      </c>
      <c r="C12" s="25"/>
    </row>
    <row r="13" spans="1:8">
      <c r="A13" s="25">
        <v>12</v>
      </c>
      <c r="B13" s="25" t="s">
        <v>118</v>
      </c>
      <c r="C13" s="25"/>
    </row>
    <row r="14" spans="1:8">
      <c r="A14" s="25">
        <v>13</v>
      </c>
      <c r="B14" s="25"/>
      <c r="C14" s="25"/>
    </row>
    <row r="15" spans="1:8">
      <c r="A15" s="25">
        <v>14</v>
      </c>
      <c r="B15" s="25"/>
      <c r="C15" s="25"/>
    </row>
    <row r="16" spans="1:8">
      <c r="A16" s="25">
        <v>15</v>
      </c>
      <c r="B16" s="25"/>
      <c r="C16" s="25"/>
    </row>
    <row r="17" spans="1:3">
      <c r="A17" s="25">
        <v>16</v>
      </c>
      <c r="B17" s="25"/>
      <c r="C17" s="25"/>
    </row>
    <row r="18" spans="1:3">
      <c r="A18" s="25">
        <v>17</v>
      </c>
      <c r="B18" s="25"/>
      <c r="C18" s="25"/>
    </row>
    <row r="68" spans="1:1">
      <c r="A68" t="s">
        <v>115</v>
      </c>
    </row>
    <row r="69" spans="1:1">
      <c r="A69" t="s">
        <v>116</v>
      </c>
    </row>
    <row r="70" spans="1:1">
      <c r="A70" t="s">
        <v>117</v>
      </c>
    </row>
    <row r="71" spans="1:1">
      <c r="A71" t="s">
        <v>118</v>
      </c>
    </row>
    <row r="72" spans="1:1">
      <c r="A72" t="s">
        <v>119</v>
      </c>
    </row>
    <row r="73" spans="1:1">
      <c r="A73" t="s">
        <v>120</v>
      </c>
    </row>
    <row r="74" spans="1:1">
      <c r="A74" t="s">
        <v>121</v>
      </c>
    </row>
    <row r="75" spans="1:1">
      <c r="A75" t="s">
        <v>122</v>
      </c>
    </row>
    <row r="76" spans="1:1">
      <c r="A76" t="s">
        <v>123</v>
      </c>
    </row>
    <row r="77" spans="1:1">
      <c r="A77" t="s">
        <v>124</v>
      </c>
    </row>
    <row r="78" spans="1:1">
      <c r="A78" t="s">
        <v>117</v>
      </c>
    </row>
    <row r="79" spans="1:1">
      <c r="A79" t="s">
        <v>118</v>
      </c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9EE860-EF96-413A-B7CA-65FF745CF6F1}">
  <dimension ref="A1:I79"/>
  <sheetViews>
    <sheetView workbookViewId="0">
      <selection activeCell="F12" sqref="F12"/>
    </sheetView>
  </sheetViews>
  <sheetFormatPr defaultRowHeight="15"/>
  <cols>
    <col min="1" max="1" width="17.42578125" customWidth="1"/>
    <col min="2" max="2" width="11.7109375" customWidth="1"/>
    <col min="3" max="3" width="12.5703125" customWidth="1"/>
  </cols>
  <sheetData>
    <row r="1" spans="1:9">
      <c r="A1" s="25" t="s">
        <v>126</v>
      </c>
      <c r="B1" s="25" t="s">
        <v>127</v>
      </c>
      <c r="C1" s="25" t="s">
        <v>128</v>
      </c>
      <c r="D1" s="25" t="s">
        <v>129</v>
      </c>
      <c r="E1" t="s">
        <v>129</v>
      </c>
      <c r="I1" t="s">
        <v>130</v>
      </c>
    </row>
    <row r="2" spans="1:9">
      <c r="A2" s="25" t="s">
        <v>87</v>
      </c>
      <c r="B2" s="25">
        <v>6</v>
      </c>
      <c r="C2" s="25" t="s">
        <v>103</v>
      </c>
      <c r="D2" s="25" t="s">
        <v>115</v>
      </c>
    </row>
    <row r="3" spans="1:9">
      <c r="A3" s="25" t="s">
        <v>88</v>
      </c>
      <c r="B3" s="25">
        <v>7</v>
      </c>
      <c r="C3" s="25" t="s">
        <v>104</v>
      </c>
      <c r="D3" s="25" t="s">
        <v>116</v>
      </c>
      <c r="H3" t="s">
        <v>125</v>
      </c>
    </row>
    <row r="4" spans="1:9">
      <c r="A4" s="25" t="s">
        <v>89</v>
      </c>
      <c r="B4" s="25">
        <v>7</v>
      </c>
      <c r="C4" s="25" t="s">
        <v>105</v>
      </c>
      <c r="D4" s="25" t="s">
        <v>117</v>
      </c>
    </row>
    <row r="5" spans="1:9">
      <c r="A5" s="25" t="s">
        <v>90</v>
      </c>
      <c r="B5" s="25">
        <v>8</v>
      </c>
      <c r="C5" s="25" t="s">
        <v>106</v>
      </c>
      <c r="D5" s="25" t="s">
        <v>118</v>
      </c>
    </row>
    <row r="6" spans="1:9">
      <c r="A6" s="25" t="s">
        <v>91</v>
      </c>
      <c r="B6" s="25">
        <v>8</v>
      </c>
      <c r="C6" s="25" t="s">
        <v>107</v>
      </c>
      <c r="D6" s="25" t="s">
        <v>119</v>
      </c>
    </row>
    <row r="7" spans="1:9">
      <c r="A7" s="25" t="s">
        <v>92</v>
      </c>
      <c r="B7" s="25">
        <v>9</v>
      </c>
      <c r="C7" s="25" t="s">
        <v>108</v>
      </c>
      <c r="D7" s="25" t="s">
        <v>120</v>
      </c>
    </row>
    <row r="8" spans="1:9">
      <c r="A8" s="25" t="s">
        <v>93</v>
      </c>
      <c r="B8" s="25">
        <v>10</v>
      </c>
      <c r="C8" s="25" t="s">
        <v>108</v>
      </c>
      <c r="D8" s="25" t="s">
        <v>121</v>
      </c>
    </row>
    <row r="9" spans="1:9">
      <c r="A9" s="25" t="s">
        <v>94</v>
      </c>
      <c r="B9" s="25">
        <v>9</v>
      </c>
      <c r="C9" s="25" t="s">
        <v>109</v>
      </c>
      <c r="D9" s="25" t="s">
        <v>122</v>
      </c>
    </row>
    <row r="10" spans="1:9">
      <c r="A10" s="25" t="s">
        <v>95</v>
      </c>
      <c r="B10" s="25">
        <v>9</v>
      </c>
      <c r="C10" s="25" t="s">
        <v>110</v>
      </c>
      <c r="D10" s="25" t="s">
        <v>123</v>
      </c>
    </row>
    <row r="11" spans="1:9">
      <c r="A11" s="25" t="s">
        <v>96</v>
      </c>
      <c r="B11" s="25">
        <v>8</v>
      </c>
      <c r="C11" s="25" t="s">
        <v>111</v>
      </c>
      <c r="D11" s="25" t="s">
        <v>124</v>
      </c>
    </row>
    <row r="12" spans="1:9">
      <c r="A12" s="25" t="s">
        <v>97</v>
      </c>
      <c r="B12" s="25">
        <v>8</v>
      </c>
      <c r="C12" s="25" t="s">
        <v>103</v>
      </c>
      <c r="D12" s="25" t="s">
        <v>117</v>
      </c>
    </row>
    <row r="13" spans="1:9">
      <c r="A13" s="25" t="s">
        <v>98</v>
      </c>
      <c r="B13" s="25">
        <v>7</v>
      </c>
      <c r="C13" s="25" t="s">
        <v>112</v>
      </c>
      <c r="D13" s="25" t="s">
        <v>118</v>
      </c>
    </row>
    <row r="14" spans="1:9">
      <c r="A14" s="25" t="s">
        <v>99</v>
      </c>
      <c r="B14" s="25">
        <v>7</v>
      </c>
      <c r="C14" s="25" t="s">
        <v>105</v>
      </c>
      <c r="D14" s="25"/>
    </row>
    <row r="15" spans="1:9">
      <c r="A15" s="25" t="s">
        <v>100</v>
      </c>
      <c r="B15" s="25">
        <v>8</v>
      </c>
      <c r="C15" s="25" t="s">
        <v>112</v>
      </c>
      <c r="D15" s="25"/>
    </row>
    <row r="16" spans="1:9">
      <c r="A16" s="25" t="s">
        <v>101</v>
      </c>
      <c r="B16" s="25">
        <v>8</v>
      </c>
      <c r="C16" s="25" t="s">
        <v>113</v>
      </c>
      <c r="D16" s="25"/>
    </row>
    <row r="17" spans="1:4">
      <c r="A17" s="25" t="s">
        <v>102</v>
      </c>
      <c r="B17" s="25">
        <v>9</v>
      </c>
      <c r="C17" s="25" t="s">
        <v>114</v>
      </c>
      <c r="D17" s="25"/>
    </row>
    <row r="68" spans="1:1">
      <c r="A68" t="s">
        <v>115</v>
      </c>
    </row>
    <row r="69" spans="1:1">
      <c r="A69" t="s">
        <v>116</v>
      </c>
    </row>
    <row r="70" spans="1:1">
      <c r="A70" t="s">
        <v>117</v>
      </c>
    </row>
    <row r="71" spans="1:1">
      <c r="A71" t="s">
        <v>118</v>
      </c>
    </row>
    <row r="72" spans="1:1">
      <c r="A72" t="s">
        <v>119</v>
      </c>
    </row>
    <row r="73" spans="1:1">
      <c r="A73" t="s">
        <v>120</v>
      </c>
    </row>
    <row r="74" spans="1:1">
      <c r="A74" t="s">
        <v>121</v>
      </c>
    </row>
    <row r="75" spans="1:1">
      <c r="A75" t="s">
        <v>122</v>
      </c>
    </row>
    <row r="76" spans="1:1">
      <c r="A76" t="s">
        <v>123</v>
      </c>
    </row>
    <row r="77" spans="1:1">
      <c r="A77" t="s">
        <v>124</v>
      </c>
    </row>
    <row r="78" spans="1:1">
      <c r="A78" t="s">
        <v>117</v>
      </c>
    </row>
    <row r="79" spans="1:1">
      <c r="A79" t="s">
        <v>118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Lab_1_1</vt:lpstr>
      <vt:lpstr>Lab_1_2</vt:lpstr>
      <vt:lpstr>Lab_1_3</vt:lpstr>
      <vt:lpstr>Lab_1_4</vt:lpstr>
      <vt:lpstr>Lab_2_1</vt:lpstr>
      <vt:lpstr>Lab_2_2</vt:lpstr>
      <vt:lpstr>Lab_2_3</vt:lpstr>
      <vt:lpstr>Lab_2_4</vt:lpstr>
      <vt:lpstr>Lab_3_1</vt:lpstr>
      <vt:lpstr>Lab_3_2</vt:lpstr>
      <vt:lpstr>Lab_4</vt:lpstr>
      <vt:lpstr>Lab_5_1</vt:lpstr>
      <vt:lpstr>Lab_5_2</vt:lpstr>
    </vt:vector>
  </TitlesOfParts>
  <Company>Office Black Edition - tum0r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chalermchon</dc:creator>
  <cp:lastModifiedBy>chalermchon visayadamrong</cp:lastModifiedBy>
  <dcterms:created xsi:type="dcterms:W3CDTF">2020-11-25T03:24:52Z</dcterms:created>
  <dcterms:modified xsi:type="dcterms:W3CDTF">2026-09-06T02:49:44Z</dcterms:modified>
</cp:coreProperties>
</file>