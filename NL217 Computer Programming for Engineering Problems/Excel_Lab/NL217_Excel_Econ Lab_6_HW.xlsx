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E:\A_Subjects\NL217 โปรแกรมคอมพิวเตอร์ในการแก้ปัญหาทางวิศวกรรม\Excel_Lab\"/>
    </mc:Choice>
  </mc:AlternateContent>
  <xr:revisionPtr revIDLastSave="0" documentId="13_ncr:1_{5AAB9865-FEAB-44A9-BD14-CB2CE79283FE}" xr6:coauthVersionLast="47" xr6:coauthVersionMax="47" xr10:uidLastSave="{00000000-0000-0000-0000-000000000000}"/>
  <bookViews>
    <workbookView xWindow="-120" yWindow="-120" windowWidth="19440" windowHeight="11520" activeTab="4" xr2:uid="{6E258052-AAB9-4547-8FC5-0C3BF28D28AE}"/>
  </bookViews>
  <sheets>
    <sheet name="Lab 6.1" sheetId="1" r:id="rId1"/>
    <sheet name="Lab6.2" sheetId="3" r:id="rId2"/>
    <sheet name="Lab6.3" sheetId="17" r:id="rId3"/>
    <sheet name="Lab6.4" sheetId="18" r:id="rId4"/>
    <sheet name="Lab 6.5" sheetId="11" r:id="rId5"/>
    <sheet name="other" sheetId="4" r:id="rId6"/>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4" l="1"/>
  <c r="D4" i="4"/>
  <c r="B5" i="4"/>
  <c r="B6" i="4"/>
  <c r="C5" i="11"/>
  <c r="B3" i="3"/>
  <c r="B4" i="3" s="1"/>
  <c r="D3" i="17"/>
  <c r="D3" i="18"/>
  <c r="D9" i="17"/>
  <c r="F13" i="3"/>
  <c r="F10" i="3"/>
  <c r="F7" i="3"/>
  <c r="D9" i="18"/>
</calcChain>
</file>

<file path=xl/sharedStrings.xml><?xml version="1.0" encoding="utf-8"?>
<sst xmlns="http://schemas.openxmlformats.org/spreadsheetml/2006/main" count="49" uniqueCount="16">
  <si>
    <t>P</t>
  </si>
  <si>
    <t>i</t>
  </si>
  <si>
    <t>n</t>
  </si>
  <si>
    <t>ดอกเบี้ย</t>
  </si>
  <si>
    <t>P + Pin</t>
  </si>
  <si>
    <t>Pin</t>
  </si>
  <si>
    <t>Pi</t>
  </si>
  <si>
    <t>F</t>
  </si>
  <si>
    <t>A</t>
  </si>
  <si>
    <t>https://engmohannadb.github.io/etccourse21/inner-page/U2-L3.html</t>
  </si>
  <si>
    <t>NPV</t>
  </si>
  <si>
    <t>รวมเงินสิ้นปี</t>
  </si>
  <si>
    <t>FV</t>
  </si>
  <si>
    <t>ปีที่</t>
  </si>
  <si>
    <t>Cash Flow</t>
  </si>
  <si>
    <t>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</si>
</sst>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43" formatCode="_-* #,##0.00_-;\-* #,##0.00_-;_-* &quot;-&quot;??_-;_-@_-"/>
    <numFmt numFmtId="164" formatCode="_-* #,##0_-;\-* #,##0_-;_-* &quot;-&quot;??_-;_-@_-"/>
    <numFmt numFmtId="165" formatCode="&quot;฿&quot;#,##0.0000000000000000;[Red]\-&quot;฿&quot;#,##0.0000000000000000"/>
    <numFmt numFmtId="166" formatCode="0.0%"/>
    <numFmt numFmtId="167" formatCode="0.000"/>
  </numFmts>
  <fonts count="16">
    <font>
      <sz val="11"/>
      <color theme="1"/>
      <name val="Calibri"/>
      <family val="2"/>
      <charset val="222"/>
      <scheme val="minor"/>
    </font>
    <font>
      <b/>
      <sz val="16"/>
      <color rgb="FF000000"/>
      <name val="Arial"/>
      <family val="2"/>
    </font>
    <font>
      <sz val="11"/>
      <color theme="1"/>
      <name val="Calibri"/>
      <family val="2"/>
      <charset val="222"/>
      <scheme val="minor"/>
    </font>
    <font>
      <sz val="11"/>
      <color rgb="FFFF0000"/>
      <name val="Calibri"/>
      <family val="2"/>
      <charset val="222"/>
      <scheme val="minor"/>
    </font>
    <font>
      <sz val="11"/>
      <color rgb="FF0070C0"/>
      <name val="Calibri"/>
      <family val="2"/>
      <charset val="222"/>
      <scheme val="minor"/>
    </font>
    <font>
      <sz val="11"/>
      <color rgb="FF00B050"/>
      <name val="Calibri"/>
      <family val="2"/>
      <charset val="222"/>
      <scheme val="minor"/>
    </font>
    <font>
      <sz val="11"/>
      <name val="Calibri"/>
      <family val="2"/>
      <charset val="222"/>
      <scheme val="minor"/>
    </font>
    <font>
      <sz val="11"/>
      <color rgb="FFC00000"/>
      <name val="Calibri"/>
      <family val="2"/>
      <charset val="222"/>
      <scheme val="minor"/>
    </font>
    <font>
      <sz val="36"/>
      <color theme="1"/>
      <name val="Calibri"/>
      <family val="2"/>
      <charset val="222"/>
      <scheme val="minor"/>
    </font>
    <font>
      <sz val="24"/>
      <color rgb="FF00B0F0"/>
      <name val="Calibri"/>
      <family val="2"/>
      <charset val="222"/>
      <scheme val="minor"/>
    </font>
    <font>
      <u/>
      <sz val="11"/>
      <color theme="10"/>
      <name val="Calibri"/>
      <family val="2"/>
      <charset val="222"/>
      <scheme val="minor"/>
    </font>
    <font>
      <b/>
      <sz val="11"/>
      <color rgb="FFC00000"/>
      <name val="Calibri"/>
      <family val="2"/>
      <scheme val="minor"/>
    </font>
    <font>
      <sz val="12"/>
      <color theme="1"/>
      <name val="Calibri"/>
      <family val="2"/>
      <charset val="222"/>
      <scheme val="minor"/>
    </font>
    <font>
      <sz val="16"/>
      <color theme="1"/>
      <name val="Calibri"/>
      <family val="2"/>
      <charset val="222"/>
      <scheme val="minor"/>
    </font>
    <font>
      <sz val="16"/>
      <color rgb="FFFF0000"/>
      <name val="Calibri"/>
      <family val="2"/>
      <charset val="222"/>
      <scheme val="minor"/>
    </font>
    <font>
      <sz val="16"/>
      <color rgb="FFC00000"/>
      <name val="Calibri"/>
      <family val="2"/>
      <charset val="222"/>
      <scheme val="min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0" fontId="10" fillId="0" borderId="0" applyNumberFormat="0" applyFill="0" applyBorder="0" applyAlignment="0" applyProtection="0"/>
  </cellStyleXfs>
  <cellXfs count="48">
    <xf numFmtId="0" fontId="0" fillId="0" borderId="0" xfId="0"/>
    <xf numFmtId="0" fontId="0" fillId="0" borderId="0" xfId="0" applyAlignment="1">
      <alignment horizontal="center"/>
    </xf>
    <xf numFmtId="0" fontId="0" fillId="0" borderId="1" xfId="0" applyBorder="1" applyAlignment="1">
      <alignment horizontal="center"/>
    </xf>
    <xf numFmtId="0" fontId="0" fillId="2" borderId="1" xfId="0" applyFill="1" applyBorder="1" applyAlignment="1">
      <alignment horizontal="center"/>
    </xf>
    <xf numFmtId="2" fontId="1" fillId="0" borderId="0" xfId="1" applyNumberFormat="1" applyFont="1"/>
    <xf numFmtId="0" fontId="3" fillId="0" borderId="1" xfId="0" applyFont="1" applyBorder="1" applyAlignment="1">
      <alignment horizontal="center"/>
    </xf>
    <xf numFmtId="0" fontId="3" fillId="0" borderId="0" xfId="0" applyFont="1"/>
    <xf numFmtId="0" fontId="4" fillId="0" borderId="0" xfId="0" applyFont="1"/>
    <xf numFmtId="9" fontId="0" fillId="0" borderId="0" xfId="0" applyNumberFormat="1" applyAlignment="1">
      <alignment horizontal="center"/>
    </xf>
    <xf numFmtId="8" fontId="0" fillId="0" borderId="0" xfId="0" applyNumberFormat="1"/>
    <xf numFmtId="164" fontId="0" fillId="0" borderId="1" xfId="1" applyNumberFormat="1" applyFont="1" applyBorder="1" applyAlignment="1">
      <alignment horizontal="center"/>
    </xf>
    <xf numFmtId="8" fontId="3" fillId="0" borderId="0" xfId="0" applyNumberFormat="1" applyFont="1"/>
    <xf numFmtId="164" fontId="0" fillId="0" borderId="0" xfId="0" applyNumberFormat="1"/>
    <xf numFmtId="164" fontId="0" fillId="3" borderId="0" xfId="0" applyNumberFormat="1" applyFill="1"/>
    <xf numFmtId="164" fontId="3" fillId="4" borderId="0" xfId="0" applyNumberFormat="1" applyFont="1" applyFill="1"/>
    <xf numFmtId="8" fontId="0" fillId="4" borderId="0" xfId="0" applyNumberFormat="1" applyFill="1"/>
    <xf numFmtId="8" fontId="3" fillId="4" borderId="0" xfId="0" applyNumberFormat="1" applyFont="1" applyFill="1"/>
    <xf numFmtId="43" fontId="0" fillId="5" borderId="0" xfId="0" applyNumberFormat="1" applyFill="1"/>
    <xf numFmtId="0" fontId="5" fillId="0" borderId="0" xfId="0" applyFont="1"/>
    <xf numFmtId="0" fontId="6" fillId="0" borderId="0" xfId="0" applyFont="1"/>
    <xf numFmtId="0" fontId="0" fillId="4" borderId="1" xfId="0" applyFill="1" applyBorder="1" applyAlignment="1">
      <alignment horizontal="center"/>
    </xf>
    <xf numFmtId="0" fontId="8" fillId="0" borderId="0" xfId="0" applyFont="1"/>
    <xf numFmtId="165" fontId="8" fillId="0" borderId="0" xfId="0" applyNumberFormat="1" applyFont="1"/>
    <xf numFmtId="8" fontId="9" fillId="0" borderId="0" xfId="0" applyNumberFormat="1" applyFont="1" applyAlignment="1">
      <alignment horizontal="left"/>
    </xf>
    <xf numFmtId="43" fontId="1" fillId="0" borderId="0" xfId="1" applyFont="1" applyAlignment="1">
      <alignment horizontal="center"/>
    </xf>
    <xf numFmtId="0" fontId="3" fillId="0" borderId="0" xfId="0" applyFont="1" applyAlignment="1">
      <alignment horizontal="center"/>
    </xf>
    <xf numFmtId="10" fontId="0" fillId="0" borderId="1" xfId="0" applyNumberFormat="1" applyBorder="1" applyAlignment="1">
      <alignment horizontal="center"/>
    </xf>
    <xf numFmtId="2" fontId="0" fillId="0" borderId="1" xfId="0" applyNumberFormat="1" applyBorder="1" applyAlignment="1">
      <alignment horizontal="center"/>
    </xf>
    <xf numFmtId="0" fontId="5" fillId="0" borderId="0" xfId="0" applyFont="1" applyAlignment="1">
      <alignment horizontal="center"/>
    </xf>
    <xf numFmtId="0" fontId="7" fillId="2" borderId="1" xfId="0" applyFont="1" applyFill="1" applyBorder="1" applyAlignment="1">
      <alignment horizontal="center"/>
    </xf>
    <xf numFmtId="0" fontId="7" fillId="2" borderId="1" xfId="0" applyFont="1" applyFill="1" applyBorder="1"/>
    <xf numFmtId="2" fontId="7" fillId="2" borderId="1" xfId="0" applyNumberFormat="1" applyFont="1" applyFill="1" applyBorder="1" applyAlignment="1">
      <alignment horizontal="center"/>
    </xf>
    <xf numFmtId="0" fontId="6" fillId="4" borderId="1" xfId="0" applyFont="1" applyFill="1" applyBorder="1" applyAlignment="1">
      <alignment horizontal="center"/>
    </xf>
    <xf numFmtId="0" fontId="11" fillId="0" borderId="0" xfId="0" applyFont="1"/>
    <xf numFmtId="0" fontId="10" fillId="0" borderId="0" xfId="2"/>
    <xf numFmtId="0" fontId="13" fillId="0" borderId="1" xfId="0" applyFont="1" applyBorder="1" applyAlignment="1">
      <alignment horizontal="center"/>
    </xf>
    <xf numFmtId="0" fontId="13" fillId="0" borderId="0" xfId="0" applyFont="1" applyAlignment="1">
      <alignment horizontal="center"/>
    </xf>
    <xf numFmtId="0" fontId="14" fillId="0" borderId="0" xfId="0" applyFont="1" applyAlignment="1">
      <alignment horizontal="center"/>
    </xf>
    <xf numFmtId="166" fontId="13" fillId="0" borderId="1" xfId="0" applyNumberFormat="1" applyFont="1" applyBorder="1" applyAlignment="1">
      <alignment horizontal="center"/>
    </xf>
    <xf numFmtId="2" fontId="13" fillId="2" borderId="1" xfId="0" applyNumberFormat="1" applyFont="1" applyFill="1" applyBorder="1" applyAlignment="1">
      <alignment horizontal="center"/>
    </xf>
    <xf numFmtId="0" fontId="15" fillId="0" borderId="0" xfId="0" applyFont="1" applyAlignment="1">
      <alignment horizontal="left"/>
    </xf>
    <xf numFmtId="166" fontId="0" fillId="0" borderId="1" xfId="0" applyNumberFormat="1" applyBorder="1" applyAlignment="1">
      <alignment horizontal="center"/>
    </xf>
    <xf numFmtId="2" fontId="12" fillId="2" borderId="1" xfId="0" applyNumberFormat="1" applyFont="1" applyFill="1" applyBorder="1" applyAlignment="1">
      <alignment horizontal="center"/>
    </xf>
    <xf numFmtId="8" fontId="0" fillId="5" borderId="0" xfId="0" applyNumberFormat="1" applyFill="1"/>
    <xf numFmtId="10" fontId="0" fillId="0" borderId="0" xfId="0" applyNumberFormat="1" applyAlignment="1">
      <alignment horizontal="center"/>
    </xf>
    <xf numFmtId="43" fontId="1" fillId="0" borderId="0" xfId="1" applyFont="1" applyBorder="1" applyAlignment="1">
      <alignment horizontal="center"/>
    </xf>
    <xf numFmtId="10" fontId="3" fillId="0" borderId="0" xfId="0" applyNumberFormat="1" applyFont="1" applyAlignment="1">
      <alignment horizontal="center"/>
    </xf>
    <xf numFmtId="167" fontId="0" fillId="0" borderId="0" xfId="0" applyNumberForma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gif"/><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205538</xdr:colOff>
      <xdr:row>3</xdr:row>
      <xdr:rowOff>104412</xdr:rowOff>
    </xdr:from>
    <xdr:to>
      <xdr:col>8</xdr:col>
      <xdr:colOff>66387</xdr:colOff>
      <xdr:row>8</xdr:row>
      <xdr:rowOff>73173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05538" y="675912"/>
          <a:ext cx="4197231" cy="9212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10056</xdr:colOff>
      <xdr:row>0</xdr:row>
      <xdr:rowOff>0</xdr:rowOff>
    </xdr:from>
    <xdr:to>
      <xdr:col>12</xdr:col>
      <xdr:colOff>477441</xdr:colOff>
      <xdr:row>8</xdr:row>
      <xdr:rowOff>109849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575487" y="0"/>
          <a:ext cx="3521954" cy="1679832"/>
        </a:xfrm>
        <a:prstGeom prst="rect">
          <a:avLst/>
        </a:prstGeom>
      </xdr:spPr>
    </xdr:pic>
    <xdr:clientData/>
  </xdr:twoCellAnchor>
  <xdr:twoCellAnchor editAs="oneCell">
    <xdr:from>
      <xdr:col>0</xdr:col>
      <xdr:colOff>157657</xdr:colOff>
      <xdr:row>13</xdr:row>
      <xdr:rowOff>66510</xdr:rowOff>
    </xdr:from>
    <xdr:to>
      <xdr:col>7</xdr:col>
      <xdr:colOff>223731</xdr:colOff>
      <xdr:row>14</xdr:row>
      <xdr:rowOff>170793</xdr:rowOff>
    </xdr:to>
    <xdr:pic>
      <xdr:nvPicPr>
        <xdr:cNvPr id="2" name="Picture 1">
          <a:extLst>
            <a:ext uri="{FF2B5EF4-FFF2-40B4-BE49-F238E27FC236}">
              <a16:creationId xmlns:a16="http://schemas.microsoft.com/office/drawing/2014/main" id="{BB315E67-864F-C9F4-981E-D43DE62BD5F9}"/>
            </a:ext>
          </a:extLst>
        </xdr:cNvPr>
        <xdr:cNvPicPr>
          <a:picLocks noChangeAspect="1"/>
        </xdr:cNvPicPr>
      </xdr:nvPicPr>
      <xdr:blipFill>
        <a:blip xmlns:r="http://schemas.openxmlformats.org/officeDocument/2006/relationships" r:embed="rId2"/>
        <a:stretch>
          <a:fillRect/>
        </a:stretch>
      </xdr:blipFill>
      <xdr:spPr>
        <a:xfrm>
          <a:off x="157657" y="2588993"/>
          <a:ext cx="4631505" cy="294783"/>
        </a:xfrm>
        <a:prstGeom prst="rect">
          <a:avLst/>
        </a:prstGeom>
      </xdr:spPr>
    </xdr:pic>
    <xdr:clientData/>
  </xdr:twoCellAnchor>
  <xdr:twoCellAnchor editAs="oneCell">
    <xdr:from>
      <xdr:col>0</xdr:col>
      <xdr:colOff>341589</xdr:colOff>
      <xdr:row>16</xdr:row>
      <xdr:rowOff>105925</xdr:rowOff>
    </xdr:from>
    <xdr:to>
      <xdr:col>4</xdr:col>
      <xdr:colOff>452112</xdr:colOff>
      <xdr:row>22</xdr:row>
      <xdr:rowOff>150272</xdr:rowOff>
    </xdr:to>
    <xdr:pic>
      <xdr:nvPicPr>
        <xdr:cNvPr id="5" name="Picture 4">
          <a:extLst>
            <a:ext uri="{FF2B5EF4-FFF2-40B4-BE49-F238E27FC236}">
              <a16:creationId xmlns:a16="http://schemas.microsoft.com/office/drawing/2014/main" id="{4049AE5B-68E5-4586-ABC6-79C9198C2258}"/>
            </a:ext>
          </a:extLst>
        </xdr:cNvPr>
        <xdr:cNvPicPr>
          <a:picLocks noChangeAspect="1"/>
        </xdr:cNvPicPr>
      </xdr:nvPicPr>
      <xdr:blipFill>
        <a:blip xmlns:r="http://schemas.openxmlformats.org/officeDocument/2006/relationships" r:embed="rId3"/>
        <a:stretch>
          <a:fillRect/>
        </a:stretch>
      </xdr:blipFill>
      <xdr:spPr>
        <a:xfrm>
          <a:off x="341589" y="3199908"/>
          <a:ext cx="2580454" cy="1187347"/>
        </a:xfrm>
        <a:prstGeom prst="rect">
          <a:avLst/>
        </a:prstGeom>
      </xdr:spPr>
    </xdr:pic>
    <xdr:clientData/>
  </xdr:twoCellAnchor>
  <xdr:twoCellAnchor editAs="oneCell">
    <xdr:from>
      <xdr:col>4</xdr:col>
      <xdr:colOff>650327</xdr:colOff>
      <xdr:row>16</xdr:row>
      <xdr:rowOff>118241</xdr:rowOff>
    </xdr:from>
    <xdr:to>
      <xdr:col>8</xdr:col>
      <xdr:colOff>371890</xdr:colOff>
      <xdr:row>23</xdr:row>
      <xdr:rowOff>3445</xdr:rowOff>
    </xdr:to>
    <xdr:pic>
      <xdr:nvPicPr>
        <xdr:cNvPr id="6" name="Picture 5">
          <a:extLst>
            <a:ext uri="{FF2B5EF4-FFF2-40B4-BE49-F238E27FC236}">
              <a16:creationId xmlns:a16="http://schemas.microsoft.com/office/drawing/2014/main" id="{137A4392-EB4E-4568-903D-576C837B7234}"/>
            </a:ext>
          </a:extLst>
        </xdr:cNvPr>
        <xdr:cNvPicPr>
          <a:picLocks noChangeAspect="1"/>
        </xdr:cNvPicPr>
      </xdr:nvPicPr>
      <xdr:blipFill>
        <a:blip xmlns:r="http://schemas.openxmlformats.org/officeDocument/2006/relationships" r:embed="rId4"/>
        <a:stretch>
          <a:fillRect/>
        </a:stretch>
      </xdr:blipFill>
      <xdr:spPr>
        <a:xfrm>
          <a:off x="3120258" y="3212224"/>
          <a:ext cx="2427977" cy="1218704"/>
        </a:xfrm>
        <a:prstGeom prst="rect">
          <a:avLst/>
        </a:prstGeom>
      </xdr:spPr>
    </xdr:pic>
    <xdr:clientData/>
  </xdr:twoCellAnchor>
  <xdr:twoCellAnchor editAs="oneCell">
    <xdr:from>
      <xdr:col>0</xdr:col>
      <xdr:colOff>0</xdr:colOff>
      <xdr:row>28</xdr:row>
      <xdr:rowOff>0</xdr:rowOff>
    </xdr:from>
    <xdr:to>
      <xdr:col>11</xdr:col>
      <xdr:colOff>584932</xdr:colOff>
      <xdr:row>51</xdr:row>
      <xdr:rowOff>86114</xdr:rowOff>
    </xdr:to>
    <xdr:pic>
      <xdr:nvPicPr>
        <xdr:cNvPr id="4" name="Picture 3" descr="The image displays a spreadsheet or table with various columns and rows, containing financial calculations such as present value (PV), future value (FV), interest rates, and other financial terms.&#10;&#10;AI-generated content may be incorrect.">
          <a:extLst>
            <a:ext uri="{FF2B5EF4-FFF2-40B4-BE49-F238E27FC236}">
              <a16:creationId xmlns:a16="http://schemas.microsoft.com/office/drawing/2014/main" id="{35D70A63-40F4-5218-D78A-457343FB1FB5}"/>
            </a:ext>
          </a:extLst>
        </xdr:cNvPr>
        <xdr:cNvPicPr>
          <a:picLocks noChangeAspect="1"/>
        </xdr:cNvPicPr>
      </xdr:nvPicPr>
      <xdr:blipFill>
        <a:blip xmlns:r="http://schemas.openxmlformats.org/officeDocument/2006/relationships" r:embed="rId5"/>
        <a:stretch>
          <a:fillRect/>
        </a:stretch>
      </xdr:blipFill>
      <xdr:spPr>
        <a:xfrm>
          <a:off x="0" y="5379983"/>
          <a:ext cx="7594018" cy="44676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214054</xdr:colOff>
      <xdr:row>0</xdr:row>
      <xdr:rowOff>114300</xdr:rowOff>
    </xdr:from>
    <xdr:to>
      <xdr:col>12</xdr:col>
      <xdr:colOff>90524</xdr:colOff>
      <xdr:row>9</xdr:row>
      <xdr:rowOff>66675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3766879" y="114300"/>
          <a:ext cx="4143670" cy="2324100"/>
        </a:xfrm>
        <a:prstGeom prst="rect">
          <a:avLst/>
        </a:prstGeom>
        <a:ln w="57150">
          <a:solidFill>
            <a:srgbClr val="C00000"/>
          </a:solidFill>
        </a:ln>
      </xdr:spPr>
    </xdr:pic>
    <xdr:clientData/>
  </xdr:twoCellAnchor>
  <xdr:twoCellAnchor editAs="oneCell">
    <xdr:from>
      <xdr:col>1</xdr:col>
      <xdr:colOff>19051</xdr:colOff>
      <xdr:row>18</xdr:row>
      <xdr:rowOff>159204</xdr:rowOff>
    </xdr:from>
    <xdr:to>
      <xdr:col>16</xdr:col>
      <xdr:colOff>206430</xdr:colOff>
      <xdr:row>31</xdr:row>
      <xdr:rowOff>33499</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8651" y="4169229"/>
          <a:ext cx="9836204" cy="2350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257175</xdr:colOff>
      <xdr:row>10</xdr:row>
      <xdr:rowOff>19050</xdr:rowOff>
    </xdr:from>
    <xdr:to>
      <xdr:col>10</xdr:col>
      <xdr:colOff>467676</xdr:colOff>
      <xdr:row>12</xdr:row>
      <xdr:rowOff>57208</xdr:rowOff>
    </xdr:to>
    <xdr:pic>
      <xdr:nvPicPr>
        <xdr:cNvPr id="4" name="Picture 3">
          <a:extLst>
            <a:ext uri="{FF2B5EF4-FFF2-40B4-BE49-F238E27FC236}">
              <a16:creationId xmlns:a16="http://schemas.microsoft.com/office/drawing/2014/main" id="{6E286FB3-EC61-EF81-DC14-D28EC4F900BA}"/>
            </a:ext>
          </a:extLst>
        </xdr:cNvPr>
        <xdr:cNvPicPr>
          <a:picLocks noChangeAspect="1"/>
        </xdr:cNvPicPr>
      </xdr:nvPicPr>
      <xdr:blipFill>
        <a:blip xmlns:r="http://schemas.openxmlformats.org/officeDocument/2006/relationships" r:embed="rId3"/>
        <a:stretch>
          <a:fillRect/>
        </a:stretch>
      </xdr:blipFill>
      <xdr:spPr>
        <a:xfrm>
          <a:off x="257175" y="2581275"/>
          <a:ext cx="6811326" cy="419158"/>
        </a:xfrm>
        <a:prstGeom prst="rect">
          <a:avLst/>
        </a:prstGeom>
      </xdr:spPr>
    </xdr:pic>
    <xdr:clientData/>
  </xdr:twoCellAnchor>
  <xdr:twoCellAnchor editAs="oneCell">
    <xdr:from>
      <xdr:col>0</xdr:col>
      <xdr:colOff>152400</xdr:colOff>
      <xdr:row>12</xdr:row>
      <xdr:rowOff>85725</xdr:rowOff>
    </xdr:from>
    <xdr:to>
      <xdr:col>10</xdr:col>
      <xdr:colOff>115216</xdr:colOff>
      <xdr:row>14</xdr:row>
      <xdr:rowOff>123883</xdr:rowOff>
    </xdr:to>
    <xdr:pic>
      <xdr:nvPicPr>
        <xdr:cNvPr id="5" name="Picture 4">
          <a:extLst>
            <a:ext uri="{FF2B5EF4-FFF2-40B4-BE49-F238E27FC236}">
              <a16:creationId xmlns:a16="http://schemas.microsoft.com/office/drawing/2014/main" id="{6C7C3801-4578-3103-932D-052C3282DF7F}"/>
            </a:ext>
          </a:extLst>
        </xdr:cNvPr>
        <xdr:cNvPicPr>
          <a:picLocks noChangeAspect="1"/>
        </xdr:cNvPicPr>
      </xdr:nvPicPr>
      <xdr:blipFill>
        <a:blip xmlns:r="http://schemas.openxmlformats.org/officeDocument/2006/relationships" r:embed="rId4"/>
        <a:stretch>
          <a:fillRect/>
        </a:stretch>
      </xdr:blipFill>
      <xdr:spPr>
        <a:xfrm>
          <a:off x="152400" y="3028950"/>
          <a:ext cx="6563641" cy="419158"/>
        </a:xfrm>
        <a:prstGeom prst="rect">
          <a:avLst/>
        </a:prstGeom>
      </xdr:spPr>
    </xdr:pic>
    <xdr:clientData/>
  </xdr:twoCellAnchor>
  <xdr:twoCellAnchor editAs="oneCell">
    <xdr:from>
      <xdr:col>1</xdr:col>
      <xdr:colOff>0</xdr:colOff>
      <xdr:row>35</xdr:row>
      <xdr:rowOff>0</xdr:rowOff>
    </xdr:from>
    <xdr:to>
      <xdr:col>14</xdr:col>
      <xdr:colOff>29756</xdr:colOff>
      <xdr:row>54</xdr:row>
      <xdr:rowOff>95768</xdr:rowOff>
    </xdr:to>
    <xdr:pic>
      <xdr:nvPicPr>
        <xdr:cNvPr id="6" name="Picture 5" descr="The image depicts a Microsoft Excel spreadsheet containing a loan amortization schedule, including columns for payment number, payment amount, interest portion, principal portion, and balance, with formulas to calculate the present value (PV), payment (PMT), and remaining balance (PV) based on an interest rate (i) and number of periods (n).&#10;&#10;AI-generated content may be incorrect.">
          <a:extLst>
            <a:ext uri="{FF2B5EF4-FFF2-40B4-BE49-F238E27FC236}">
              <a16:creationId xmlns:a16="http://schemas.microsoft.com/office/drawing/2014/main" id="{D71C4B72-30A0-8B6C-430B-FF633C3A47D7}"/>
            </a:ext>
          </a:extLst>
        </xdr:cNvPr>
        <xdr:cNvPicPr>
          <a:picLocks noChangeAspect="1"/>
        </xdr:cNvPicPr>
      </xdr:nvPicPr>
      <xdr:blipFill>
        <a:blip xmlns:r="http://schemas.openxmlformats.org/officeDocument/2006/relationships" r:embed="rId5"/>
        <a:stretch>
          <a:fillRect/>
        </a:stretch>
      </xdr:blipFill>
      <xdr:spPr>
        <a:xfrm>
          <a:off x="609600" y="7324725"/>
          <a:ext cx="8459381" cy="37152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167763</xdr:colOff>
      <xdr:row>0</xdr:row>
      <xdr:rowOff>0</xdr:rowOff>
    </xdr:from>
    <xdr:to>
      <xdr:col>5</xdr:col>
      <xdr:colOff>3707266</xdr:colOff>
      <xdr:row>9</xdr:row>
      <xdr:rowOff>51678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3362301" y="0"/>
          <a:ext cx="3539503" cy="1927370"/>
        </a:xfrm>
        <a:prstGeom prst="rect">
          <a:avLst/>
        </a:prstGeom>
        <a:ln w="57150">
          <a:solidFill>
            <a:srgbClr val="C00000"/>
          </a:solidFill>
        </a:ln>
      </xdr:spPr>
    </xdr:pic>
    <xdr:clientData/>
  </xdr:twoCellAnchor>
  <xdr:twoCellAnchor editAs="oneCell">
    <xdr:from>
      <xdr:col>0</xdr:col>
      <xdr:colOff>70993</xdr:colOff>
      <xdr:row>13</xdr:row>
      <xdr:rowOff>108642</xdr:rowOff>
    </xdr:from>
    <xdr:to>
      <xdr:col>5</xdr:col>
      <xdr:colOff>1212377</xdr:colOff>
      <xdr:row>19</xdr:row>
      <xdr:rowOff>64072</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70993" y="3537642"/>
          <a:ext cx="4335922" cy="885949"/>
        </a:xfrm>
        <a:prstGeom prst="rect">
          <a:avLst/>
        </a:prstGeom>
      </xdr:spPr>
    </xdr:pic>
    <xdr:clientData/>
  </xdr:twoCellAnchor>
  <xdr:twoCellAnchor editAs="oneCell">
    <xdr:from>
      <xdr:col>0</xdr:col>
      <xdr:colOff>211724</xdr:colOff>
      <xdr:row>10</xdr:row>
      <xdr:rowOff>98573</xdr:rowOff>
    </xdr:from>
    <xdr:to>
      <xdr:col>5</xdr:col>
      <xdr:colOff>2022231</xdr:colOff>
      <xdr:row>10</xdr:row>
      <xdr:rowOff>411833</xdr:rowOff>
    </xdr:to>
    <xdr:pic>
      <xdr:nvPicPr>
        <xdr:cNvPr id="2" name="Picture 1">
          <a:extLst>
            <a:ext uri="{FF2B5EF4-FFF2-40B4-BE49-F238E27FC236}">
              <a16:creationId xmlns:a16="http://schemas.microsoft.com/office/drawing/2014/main" id="{9CA2B4FF-C515-DC10-E0A1-C179E6987142}"/>
            </a:ext>
          </a:extLst>
        </xdr:cNvPr>
        <xdr:cNvPicPr>
          <a:picLocks noChangeAspect="1"/>
        </xdr:cNvPicPr>
      </xdr:nvPicPr>
      <xdr:blipFill>
        <a:blip xmlns:r="http://schemas.openxmlformats.org/officeDocument/2006/relationships" r:embed="rId3"/>
        <a:stretch>
          <a:fillRect/>
        </a:stretch>
      </xdr:blipFill>
      <xdr:spPr>
        <a:xfrm>
          <a:off x="211724" y="2164765"/>
          <a:ext cx="5005045" cy="313260"/>
        </a:xfrm>
        <a:prstGeom prst="rect">
          <a:avLst/>
        </a:prstGeom>
      </xdr:spPr>
    </xdr:pic>
    <xdr:clientData/>
  </xdr:twoCellAnchor>
  <xdr:twoCellAnchor editAs="oneCell">
    <xdr:from>
      <xdr:col>0</xdr:col>
      <xdr:colOff>168519</xdr:colOff>
      <xdr:row>10</xdr:row>
      <xdr:rowOff>450269</xdr:rowOff>
    </xdr:from>
    <xdr:to>
      <xdr:col>5</xdr:col>
      <xdr:colOff>1861039</xdr:colOff>
      <xdr:row>11</xdr:row>
      <xdr:rowOff>136254</xdr:rowOff>
    </xdr:to>
    <xdr:pic>
      <xdr:nvPicPr>
        <xdr:cNvPr id="5" name="Picture 4">
          <a:extLst>
            <a:ext uri="{FF2B5EF4-FFF2-40B4-BE49-F238E27FC236}">
              <a16:creationId xmlns:a16="http://schemas.microsoft.com/office/drawing/2014/main" id="{4592F4DE-7149-E963-1F15-E3440121F742}"/>
            </a:ext>
          </a:extLst>
        </xdr:cNvPr>
        <xdr:cNvPicPr>
          <a:picLocks noChangeAspect="1"/>
        </xdr:cNvPicPr>
      </xdr:nvPicPr>
      <xdr:blipFill>
        <a:blip xmlns:r="http://schemas.openxmlformats.org/officeDocument/2006/relationships" r:embed="rId4"/>
        <a:stretch>
          <a:fillRect/>
        </a:stretch>
      </xdr:blipFill>
      <xdr:spPr>
        <a:xfrm>
          <a:off x="168519" y="2516461"/>
          <a:ext cx="4887058" cy="279466"/>
        </a:xfrm>
        <a:prstGeom prst="rect">
          <a:avLst/>
        </a:prstGeom>
      </xdr:spPr>
    </xdr:pic>
    <xdr:clientData/>
  </xdr:twoCellAnchor>
  <xdr:twoCellAnchor editAs="oneCell">
    <xdr:from>
      <xdr:col>1</xdr:col>
      <xdr:colOff>0</xdr:colOff>
      <xdr:row>22</xdr:row>
      <xdr:rowOff>0</xdr:rowOff>
    </xdr:from>
    <xdr:to>
      <xdr:col>6</xdr:col>
      <xdr:colOff>392439</xdr:colOff>
      <xdr:row>41</xdr:row>
      <xdr:rowOff>95768</xdr:rowOff>
    </xdr:to>
    <xdr:pic>
      <xdr:nvPicPr>
        <xdr:cNvPr id="6" name="Picture 5" descr="The image depicts a Microsoft Excel spreadsheet containing a loan amortization schedule, including columns for payment number, payment amount, interest portion, principal portion, and balance, with formulas to calculate the present value (PV), payment (PMT), and remaining balance (PV) based on an interest rate (i) and number of periods (n).&#10;&#10;AI-generated content may be incorrect.">
          <a:extLst>
            <a:ext uri="{FF2B5EF4-FFF2-40B4-BE49-F238E27FC236}">
              <a16:creationId xmlns:a16="http://schemas.microsoft.com/office/drawing/2014/main" id="{D71C4B72-30A0-8B6C-430B-FF633C3A47D7}"/>
            </a:ext>
          </a:extLst>
        </xdr:cNvPr>
        <xdr:cNvPicPr>
          <a:picLocks noChangeAspect="1"/>
        </xdr:cNvPicPr>
      </xdr:nvPicPr>
      <xdr:blipFill>
        <a:blip xmlns:r="http://schemas.openxmlformats.org/officeDocument/2006/relationships" r:embed="rId5"/>
        <a:stretch>
          <a:fillRect/>
        </a:stretch>
      </xdr:blipFill>
      <xdr:spPr>
        <a:xfrm>
          <a:off x="608135" y="5561135"/>
          <a:ext cx="8459381" cy="37152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205792</xdr:colOff>
      <xdr:row>12</xdr:row>
      <xdr:rowOff>24665</xdr:rowOff>
    </xdr:from>
    <xdr:to>
      <xdr:col>6</xdr:col>
      <xdr:colOff>1112069</xdr:colOff>
      <xdr:row>21</xdr:row>
      <xdr:rowOff>8282</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959509" y="2376926"/>
          <a:ext cx="4699712" cy="1698117"/>
        </a:xfrm>
        <a:prstGeom prst="rect">
          <a:avLst/>
        </a:prstGeom>
      </xdr:spPr>
    </xdr:pic>
    <xdr:clientData/>
  </xdr:twoCellAnchor>
  <xdr:twoCellAnchor editAs="oneCell">
    <xdr:from>
      <xdr:col>8</xdr:col>
      <xdr:colOff>463827</xdr:colOff>
      <xdr:row>0</xdr:row>
      <xdr:rowOff>78291</xdr:rowOff>
    </xdr:from>
    <xdr:to>
      <xdr:col>19</xdr:col>
      <xdr:colOff>562959</xdr:colOff>
      <xdr:row>20</xdr:row>
      <xdr:rowOff>77829</xdr:rowOff>
    </xdr:to>
    <xdr:pic>
      <xdr:nvPicPr>
        <xdr:cNvPr id="3" name="Picture 2">
          <a:extLst>
            <a:ext uri="{FF2B5EF4-FFF2-40B4-BE49-F238E27FC236}">
              <a16:creationId xmlns:a16="http://schemas.microsoft.com/office/drawing/2014/main" id="{0C052521-B245-5506-A2B8-9CF0C21DE521}"/>
            </a:ext>
          </a:extLst>
        </xdr:cNvPr>
        <xdr:cNvPicPr>
          <a:picLocks noChangeAspect="1"/>
        </xdr:cNvPicPr>
      </xdr:nvPicPr>
      <xdr:blipFill>
        <a:blip xmlns:r="http://schemas.openxmlformats.org/officeDocument/2006/relationships" r:embed="rId2"/>
        <a:stretch>
          <a:fillRect/>
        </a:stretch>
      </xdr:blipFill>
      <xdr:spPr>
        <a:xfrm>
          <a:off x="6982240" y="78291"/>
          <a:ext cx="6841176" cy="3875799"/>
        </a:xfrm>
        <a:prstGeom prst="rect">
          <a:avLst/>
        </a:prstGeom>
      </xdr:spPr>
    </xdr:pic>
    <xdr:clientData/>
  </xdr:twoCellAnchor>
  <xdr:twoCellAnchor editAs="oneCell">
    <xdr:from>
      <xdr:col>1</xdr:col>
      <xdr:colOff>364436</xdr:colOff>
      <xdr:row>21</xdr:row>
      <xdr:rowOff>63016</xdr:rowOff>
    </xdr:from>
    <xdr:to>
      <xdr:col>8</xdr:col>
      <xdr:colOff>41414</xdr:colOff>
      <xdr:row>37</xdr:row>
      <xdr:rowOff>45730</xdr:rowOff>
    </xdr:to>
    <xdr:pic>
      <xdr:nvPicPr>
        <xdr:cNvPr id="4" name="Picture 3">
          <a:extLst>
            <a:ext uri="{FF2B5EF4-FFF2-40B4-BE49-F238E27FC236}">
              <a16:creationId xmlns:a16="http://schemas.microsoft.com/office/drawing/2014/main" id="{A601C783-2B55-AD9C-A9E6-B2066C18914F}"/>
            </a:ext>
          </a:extLst>
        </xdr:cNvPr>
        <xdr:cNvPicPr>
          <a:picLocks noChangeAspect="1"/>
        </xdr:cNvPicPr>
      </xdr:nvPicPr>
      <xdr:blipFill>
        <a:blip xmlns:r="http://schemas.openxmlformats.org/officeDocument/2006/relationships" r:embed="rId3"/>
        <a:stretch>
          <a:fillRect/>
        </a:stretch>
      </xdr:blipFill>
      <xdr:spPr>
        <a:xfrm>
          <a:off x="505240" y="4129777"/>
          <a:ext cx="6054587" cy="30307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109400</xdr:colOff>
      <xdr:row>7</xdr:row>
      <xdr:rowOff>51290</xdr:rowOff>
    </xdr:from>
    <xdr:to>
      <xdr:col>11</xdr:col>
      <xdr:colOff>446855</xdr:colOff>
      <xdr:row>28</xdr:row>
      <xdr:rowOff>78327</xdr:rowOff>
    </xdr:to>
    <xdr:pic>
      <xdr:nvPicPr>
        <xdr:cNvPr id="3" name="Picture 2">
          <a:extLst>
            <a:ext uri="{FF2B5EF4-FFF2-40B4-BE49-F238E27FC236}">
              <a16:creationId xmlns:a16="http://schemas.microsoft.com/office/drawing/2014/main" id="{AD655627-F86A-4017-83C3-597DD3EECA5E}"/>
            </a:ext>
          </a:extLst>
        </xdr:cNvPr>
        <xdr:cNvPicPr>
          <a:picLocks noChangeAspect="1"/>
        </xdr:cNvPicPr>
      </xdr:nvPicPr>
      <xdr:blipFill>
        <a:blip xmlns:r="http://schemas.openxmlformats.org/officeDocument/2006/relationships" r:embed="rId1"/>
        <a:stretch>
          <a:fillRect/>
        </a:stretch>
      </xdr:blipFill>
      <xdr:spPr>
        <a:xfrm>
          <a:off x="109400" y="1450732"/>
          <a:ext cx="7290705" cy="402753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E561-3AF4-475D-9BD5-93835AE96AD6}">
  <sheetPr codeName="Sheet1"/>
  <dimension ref="B1:G6"/>
  <sheetViews>
    <sheetView zoomScale="190" zoomScaleNormal="190" workbookViewId="0">
      <selection activeCell="E3" sqref="E3:F3"/>
    </sheetView>
  </sheetViews>
  <sheetFormatPr defaultRowHeight="15"/>
  <cols>
    <col min="1" max="1" width="3.42578125" customWidth="1"/>
    <col min="2" max="2" width="6" customWidth="1"/>
    <col min="3" max="3" width="5.5703125" customWidth="1"/>
    <col min="4" max="4" width="4.85546875" customWidth="1"/>
    <col min="5" max="5" width="12.140625" customWidth="1"/>
    <col min="6" max="6" width="14.5703125" customWidth="1"/>
  </cols>
  <sheetData>
    <row r="1" spans="2:7">
      <c r="E1" t="s">
        <v>3</v>
      </c>
    </row>
    <row r="2" spans="2:7">
      <c r="B2" s="2" t="s">
        <v>0</v>
      </c>
      <c r="C2" s="2" t="s">
        <v>1</v>
      </c>
      <c r="D2" s="2" t="s">
        <v>2</v>
      </c>
      <c r="E2" s="2" t="s">
        <v>5</v>
      </c>
      <c r="F2" s="2" t="s">
        <v>4</v>
      </c>
    </row>
    <row r="3" spans="2:7">
      <c r="B3" s="2">
        <v>1000</v>
      </c>
      <c r="C3" s="2">
        <v>0.14000000000000001</v>
      </c>
      <c r="D3" s="2">
        <v>3</v>
      </c>
      <c r="E3" s="5"/>
      <c r="F3" s="3"/>
      <c r="G3" s="1"/>
    </row>
    <row r="4" spans="2:7">
      <c r="B4" s="1"/>
      <c r="C4" s="1"/>
      <c r="D4" s="1"/>
      <c r="E4" s="28"/>
      <c r="F4" s="1"/>
    </row>
    <row r="5" spans="2:7">
      <c r="E5" s="6"/>
      <c r="F5" s="19"/>
    </row>
    <row r="6" spans="2:7">
      <c r="E6" s="1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83F1-FA3C-4E68-8444-CB6A72FB20D9}">
  <sheetPr codeName="Sheet2"/>
  <dimension ref="A1:F13"/>
  <sheetViews>
    <sheetView topLeftCell="A39" zoomScale="145" zoomScaleNormal="145" workbookViewId="0">
      <selection activeCell="A29" sqref="A29"/>
    </sheetView>
  </sheetViews>
  <sheetFormatPr defaultRowHeight="15"/>
  <cols>
    <col min="3" max="3" width="9.5703125" customWidth="1"/>
    <col min="5" max="5" width="13.140625" customWidth="1"/>
  </cols>
  <sheetData>
    <row r="1" spans="1:6">
      <c r="A1" s="20" t="s">
        <v>2</v>
      </c>
      <c r="B1" s="20" t="s">
        <v>0</v>
      </c>
      <c r="C1" s="20" t="s">
        <v>1</v>
      </c>
      <c r="D1" s="20" t="s">
        <v>6</v>
      </c>
      <c r="E1" s="20" t="s">
        <v>11</v>
      </c>
    </row>
    <row r="2" spans="1:6">
      <c r="A2" s="20">
        <v>1</v>
      </c>
      <c r="B2" s="2">
        <v>1000</v>
      </c>
      <c r="C2" s="26">
        <v>0.14000000000000001</v>
      </c>
      <c r="D2" s="29"/>
      <c r="E2" s="30"/>
    </row>
    <row r="3" spans="1:6">
      <c r="A3" s="20">
        <v>2</v>
      </c>
      <c r="B3" s="2">
        <f>B2+D2</f>
        <v>1000</v>
      </c>
      <c r="C3" s="26">
        <v>0.14000000000000001</v>
      </c>
      <c r="D3" s="29"/>
      <c r="E3" s="30"/>
    </row>
    <row r="4" spans="1:6">
      <c r="A4" s="20">
        <v>3</v>
      </c>
      <c r="B4" s="2">
        <f>B3+D3</f>
        <v>1000</v>
      </c>
      <c r="C4" s="26">
        <v>0.14000000000000001</v>
      </c>
      <c r="D4" s="29"/>
      <c r="E4" s="30"/>
    </row>
    <row r="5" spans="1:6">
      <c r="A5" s="1"/>
      <c r="B5" s="28"/>
      <c r="C5" s="8"/>
      <c r="D5" s="1"/>
    </row>
    <row r="6" spans="1:6">
      <c r="A6" s="1"/>
      <c r="B6" s="32" t="s">
        <v>0</v>
      </c>
      <c r="C6" s="20" t="s">
        <v>1</v>
      </c>
      <c r="D6" s="20" t="s">
        <v>2</v>
      </c>
      <c r="E6" s="20" t="s">
        <v>12</v>
      </c>
    </row>
    <row r="7" spans="1:6" ht="18.75" customHeight="1">
      <c r="B7" s="2">
        <v>1000</v>
      </c>
      <c r="C7" s="26">
        <v>0.14000000000000001</v>
      </c>
      <c r="D7" s="2">
        <v>3</v>
      </c>
      <c r="E7" s="31"/>
      <c r="F7" s="33" t="e">
        <f ca="1">_xlfn.FORMULATEXT(E7)</f>
        <v>#N/A</v>
      </c>
    </row>
    <row r="9" spans="1:6">
      <c r="B9" s="32" t="s">
        <v>0</v>
      </c>
      <c r="C9" s="20" t="s">
        <v>1</v>
      </c>
      <c r="D9" s="20" t="s">
        <v>2</v>
      </c>
      <c r="E9" s="20" t="s">
        <v>12</v>
      </c>
    </row>
    <row r="10" spans="1:6">
      <c r="B10" s="2">
        <v>1000</v>
      </c>
      <c r="C10" s="26">
        <v>0.14000000000000001</v>
      </c>
      <c r="D10" s="2">
        <v>3</v>
      </c>
      <c r="E10" s="31"/>
      <c r="F10" s="33" t="e">
        <f ca="1">_xlfn.FORMULATEXT(E10)</f>
        <v>#N/A</v>
      </c>
    </row>
    <row r="12" spans="1:6">
      <c r="B12" s="32" t="s">
        <v>0</v>
      </c>
      <c r="C12" s="20" t="s">
        <v>1</v>
      </c>
      <c r="D12" s="20" t="s">
        <v>2</v>
      </c>
      <c r="E12" s="20" t="s">
        <v>12</v>
      </c>
    </row>
    <row r="13" spans="1:6">
      <c r="B13" s="2">
        <v>1000</v>
      </c>
      <c r="C13" s="26">
        <v>0.14000000000000001</v>
      </c>
      <c r="D13" s="2">
        <v>3</v>
      </c>
      <c r="E13" s="31"/>
      <c r="F13" s="33" t="e">
        <f ca="1">_xlfn.FORMULATEXT(E13)</f>
        <v>#N/A</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0DA6D-DAA6-4162-A3B1-A4227F4E6B48}">
  <dimension ref="A1:D9"/>
  <sheetViews>
    <sheetView topLeftCell="A24" zoomScaleNormal="100" workbookViewId="0">
      <selection activeCell="B36" sqref="B36"/>
    </sheetView>
  </sheetViews>
  <sheetFormatPr defaultRowHeight="15"/>
  <cols>
    <col min="2" max="2" width="9.5703125" customWidth="1"/>
    <col min="4" max="4" width="16.28515625" bestFit="1" customWidth="1"/>
  </cols>
  <sheetData>
    <row r="1" spans="1:4" ht="21">
      <c r="A1" s="35" t="s">
        <v>0</v>
      </c>
      <c r="B1" s="35" t="s">
        <v>1</v>
      </c>
      <c r="C1" s="35" t="s">
        <v>2</v>
      </c>
      <c r="D1" s="35" t="s">
        <v>8</v>
      </c>
    </row>
    <row r="2" spans="1:4" ht="21">
      <c r="A2" s="35">
        <v>5000</v>
      </c>
      <c r="B2" s="38">
        <v>0.12</v>
      </c>
      <c r="C2" s="35">
        <v>5</v>
      </c>
      <c r="D2" s="39"/>
    </row>
    <row r="3" spans="1:4" ht="22.5" customHeight="1">
      <c r="A3" s="36"/>
      <c r="B3" s="24"/>
      <c r="C3" s="24"/>
      <c r="D3" s="40" t="e">
        <f ca="1">_xlfn.FORMULATEXT(D2)</f>
        <v>#N/A</v>
      </c>
    </row>
    <row r="4" spans="1:4" ht="17.25" customHeight="1">
      <c r="A4" s="36"/>
      <c r="B4" s="37"/>
      <c r="C4" s="37"/>
      <c r="D4" s="36"/>
    </row>
    <row r="5" spans="1:4" ht="21">
      <c r="A5" s="36"/>
      <c r="B5" s="36"/>
      <c r="C5" s="36"/>
      <c r="D5" s="36"/>
    </row>
    <row r="6" spans="1:4" ht="21">
      <c r="A6" s="36"/>
      <c r="B6" s="36"/>
      <c r="C6" s="36"/>
      <c r="D6" s="36"/>
    </row>
    <row r="7" spans="1:4" ht="21">
      <c r="A7" s="35" t="s">
        <v>8</v>
      </c>
      <c r="B7" s="35" t="s">
        <v>1</v>
      </c>
      <c r="C7" s="35" t="s">
        <v>2</v>
      </c>
      <c r="D7" s="35" t="s">
        <v>0</v>
      </c>
    </row>
    <row r="8" spans="1:4" ht="21">
      <c r="A8" s="35">
        <v>1387.05</v>
      </c>
      <c r="B8" s="38">
        <v>0.12</v>
      </c>
      <c r="C8" s="35">
        <v>5</v>
      </c>
      <c r="D8" s="39"/>
    </row>
    <row r="9" spans="1:4" ht="21">
      <c r="D9" s="40" t="e">
        <f ca="1">_xlfn.FORMULATEXT(D8)</f>
        <v>#N/A</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D89A5-F275-479C-8527-311AF757B8B2}">
  <dimension ref="A1:F21"/>
  <sheetViews>
    <sheetView zoomScale="130" zoomScaleNormal="130" workbookViewId="0">
      <selection activeCell="B23" sqref="B23"/>
    </sheetView>
  </sheetViews>
  <sheetFormatPr defaultRowHeight="15"/>
  <cols>
    <col min="2" max="2" width="6.85546875" customWidth="1"/>
    <col min="3" max="3" width="5" customWidth="1"/>
    <col min="4" max="4" width="13" customWidth="1"/>
    <col min="5" max="5" width="14" customWidth="1"/>
    <col min="6" max="6" width="82.140625" bestFit="1" customWidth="1"/>
  </cols>
  <sheetData>
    <row r="1" spans="1:6">
      <c r="A1" s="2" t="s">
        <v>7</v>
      </c>
      <c r="B1" s="2" t="s">
        <v>1</v>
      </c>
      <c r="C1" s="2" t="s">
        <v>2</v>
      </c>
      <c r="D1" s="2" t="s">
        <v>8</v>
      </c>
      <c r="E1" s="1"/>
    </row>
    <row r="2" spans="1:6" ht="15.75">
      <c r="A2" s="2">
        <v>50000</v>
      </c>
      <c r="B2" s="41">
        <v>0.12</v>
      </c>
      <c r="C2" s="2">
        <v>5</v>
      </c>
      <c r="D2" s="42"/>
    </row>
    <row r="3" spans="1:6" ht="21">
      <c r="A3" s="1"/>
      <c r="B3" s="24"/>
      <c r="C3" s="24"/>
      <c r="D3" s="40" t="e">
        <f ca="1">_xlfn.FORMULATEXT(D2)</f>
        <v>#N/A</v>
      </c>
      <c r="E3" s="1"/>
    </row>
    <row r="4" spans="1:6">
      <c r="A4" s="1"/>
      <c r="B4" s="25"/>
      <c r="C4" s="25"/>
      <c r="D4" s="1"/>
      <c r="E4" s="1"/>
    </row>
    <row r="5" spans="1:6">
      <c r="A5" s="1"/>
      <c r="B5" s="1"/>
      <c r="C5" s="1"/>
      <c r="D5" s="1"/>
      <c r="E5" s="1"/>
    </row>
    <row r="6" spans="1:6">
      <c r="A6" s="1"/>
      <c r="B6" s="1"/>
      <c r="C6" s="1"/>
      <c r="D6" s="1"/>
      <c r="E6" s="1"/>
    </row>
    <row r="7" spans="1:6">
      <c r="A7" s="2" t="s">
        <v>8</v>
      </c>
      <c r="B7" s="2" t="s">
        <v>1</v>
      </c>
      <c r="C7" s="2" t="s">
        <v>2</v>
      </c>
      <c r="D7" s="2" t="s">
        <v>0</v>
      </c>
      <c r="E7" s="1"/>
    </row>
    <row r="8" spans="1:6" ht="15.75">
      <c r="A8" s="2">
        <v>7870.49</v>
      </c>
      <c r="B8" s="41">
        <v>0.12</v>
      </c>
      <c r="C8" s="2">
        <v>5</v>
      </c>
      <c r="D8" s="42"/>
      <c r="E8" s="1"/>
    </row>
    <row r="9" spans="1:6" ht="21">
      <c r="D9" s="40" t="e">
        <f ca="1">_xlfn.FORMULATEXT(D8)</f>
        <v>#N/A</v>
      </c>
    </row>
    <row r="11" spans="1:6" ht="46.5">
      <c r="F11" s="22"/>
    </row>
    <row r="12" spans="1:6" ht="46.5">
      <c r="F12" s="21"/>
    </row>
    <row r="18" spans="6:6" ht="13.5" customHeight="1"/>
    <row r="19" spans="6:6" hidden="1"/>
    <row r="20" spans="6:6" ht="31.5">
      <c r="F20" s="23"/>
    </row>
    <row r="21" spans="6:6" ht="46.5">
      <c r="F21" s="2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23D5-FB38-4C3C-B248-7E14B2FF3A42}">
  <sheetPr codeName="Sheet11"/>
  <dimension ref="A1:H12"/>
  <sheetViews>
    <sheetView tabSelected="1" topLeftCell="A15" zoomScale="115" zoomScaleNormal="115" workbookViewId="0">
      <selection activeCell="C5" sqref="C5"/>
    </sheetView>
  </sheetViews>
  <sheetFormatPr defaultRowHeight="15"/>
  <cols>
    <col min="1" max="1" width="2.140625" customWidth="1"/>
    <col min="3" max="3" width="13.42578125" bestFit="1" customWidth="1"/>
    <col min="4" max="4" width="14.5703125" customWidth="1"/>
    <col min="5" max="5" width="12.42578125" customWidth="1"/>
    <col min="6" max="6" width="16.5703125" customWidth="1"/>
    <col min="7" max="7" width="17.42578125" customWidth="1"/>
    <col min="8" max="8" width="12.140625" customWidth="1"/>
  </cols>
  <sheetData>
    <row r="1" spans="1:8" ht="20.25" customHeight="1">
      <c r="H1">
        <v>20000</v>
      </c>
    </row>
    <row r="2" spans="1:8">
      <c r="A2" s="1"/>
      <c r="B2" s="1" t="s">
        <v>1</v>
      </c>
      <c r="C2" s="2">
        <v>0</v>
      </c>
      <c r="D2" s="2">
        <v>1</v>
      </c>
      <c r="E2" s="2">
        <v>2</v>
      </c>
      <c r="F2" s="2">
        <v>3</v>
      </c>
      <c r="G2" s="2">
        <v>4</v>
      </c>
      <c r="H2" s="2">
        <v>5</v>
      </c>
    </row>
    <row r="3" spans="1:8">
      <c r="A3" s="1"/>
      <c r="B3" s="8">
        <v>0.1</v>
      </c>
      <c r="C3" s="10">
        <v>-300000</v>
      </c>
      <c r="D3" s="10">
        <v>-80000</v>
      </c>
      <c r="E3" s="10">
        <v>-80000</v>
      </c>
      <c r="F3" s="10">
        <v>-80000</v>
      </c>
      <c r="G3" s="10">
        <v>-80000</v>
      </c>
      <c r="H3" s="10">
        <v>-80000</v>
      </c>
    </row>
    <row r="4" spans="1:8">
      <c r="C4" s="12"/>
      <c r="D4" s="12"/>
      <c r="E4" s="12"/>
      <c r="F4" s="12"/>
      <c r="G4" s="12"/>
      <c r="H4" s="12"/>
    </row>
    <row r="5" spans="1:8">
      <c r="B5" t="s">
        <v>10</v>
      </c>
      <c r="C5" s="43">
        <f>NPV(B3,C3:H3)</f>
        <v>-548420.85595697793</v>
      </c>
      <c r="D5" s="9"/>
      <c r="F5" s="6"/>
      <c r="G5" s="6"/>
    </row>
    <row r="6" spans="1:8">
      <c r="C6" s="11"/>
      <c r="D6" s="11"/>
      <c r="E6" s="14"/>
      <c r="F6" s="15"/>
      <c r="G6" s="16"/>
      <c r="H6" s="13"/>
    </row>
    <row r="7" spans="1:8">
      <c r="F7" s="11"/>
      <c r="G7" s="11"/>
      <c r="H7">
        <v>40000</v>
      </c>
    </row>
    <row r="8" spans="1:8">
      <c r="B8" s="1" t="s">
        <v>1</v>
      </c>
      <c r="C8" s="2">
        <v>0</v>
      </c>
      <c r="D8" s="2">
        <v>1</v>
      </c>
      <c r="E8" s="2">
        <v>2</v>
      </c>
      <c r="F8" s="2">
        <v>3</v>
      </c>
      <c r="G8" s="2">
        <v>4</v>
      </c>
      <c r="H8" s="2">
        <v>5</v>
      </c>
    </row>
    <row r="9" spans="1:8">
      <c r="B9" s="8">
        <v>0.1</v>
      </c>
      <c r="C9" s="10">
        <v>-320000</v>
      </c>
      <c r="D9" s="10">
        <v>-85000</v>
      </c>
      <c r="E9" s="10">
        <v>-85000</v>
      </c>
      <c r="F9" s="10">
        <v>-85000</v>
      </c>
      <c r="G9" s="10">
        <v>-85000</v>
      </c>
      <c r="H9" s="10">
        <v>-85000</v>
      </c>
    </row>
    <row r="10" spans="1:8">
      <c r="C10" s="12"/>
      <c r="D10" s="12"/>
      <c r="E10" s="12"/>
      <c r="F10" s="12"/>
      <c r="G10" s="12"/>
      <c r="H10" s="12"/>
    </row>
    <row r="11" spans="1:8">
      <c r="B11" t="s">
        <v>10</v>
      </c>
      <c r="C11" s="17"/>
      <c r="D11" s="9"/>
      <c r="F11" s="6"/>
      <c r="G11" s="6"/>
    </row>
    <row r="12" spans="1:8">
      <c r="C12" s="11"/>
      <c r="D12" s="11"/>
      <c r="E12" s="14"/>
      <c r="F12" s="15"/>
      <c r="G12" s="16"/>
      <c r="H12" s="1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567BF-A889-4729-A682-CA0BFAD37062}">
  <sheetPr codeName="Sheet4"/>
  <dimension ref="A1:J8"/>
  <sheetViews>
    <sheetView zoomScale="130" zoomScaleNormal="130" workbookViewId="0">
      <selection activeCell="D6" sqref="D6"/>
    </sheetView>
  </sheetViews>
  <sheetFormatPr defaultRowHeight="15"/>
  <cols>
    <col min="1" max="1" width="13.5703125" customWidth="1"/>
    <col min="2" max="2" width="10.28515625" customWidth="1"/>
    <col min="3" max="3" width="5.85546875" customWidth="1"/>
    <col min="4" max="4" width="10.140625" customWidth="1"/>
    <col min="5" max="5" width="2.5703125" customWidth="1"/>
    <col min="6" max="6" width="2" customWidth="1"/>
    <col min="7" max="7" width="23.42578125" customWidth="1"/>
  </cols>
  <sheetData>
    <row r="1" spans="1:10">
      <c r="A1" s="2" t="s">
        <v>13</v>
      </c>
      <c r="B1" s="2">
        <v>0</v>
      </c>
      <c r="C1" s="2">
        <v>1</v>
      </c>
      <c r="D1" s="2">
        <v>2</v>
      </c>
      <c r="H1" t="s">
        <v>9</v>
      </c>
    </row>
    <row r="2" spans="1:10">
      <c r="A2" s="2" t="s">
        <v>14</v>
      </c>
      <c r="B2" s="27">
        <v>-100</v>
      </c>
      <c r="C2" s="2">
        <v>0</v>
      </c>
      <c r="D2" s="2">
        <v>120</v>
      </c>
    </row>
    <row r="3" spans="1:10" ht="20.25">
      <c r="A3" s="1"/>
      <c r="B3" s="45"/>
      <c r="C3" s="45"/>
      <c r="D3" s="1"/>
      <c r="G3" s="4"/>
    </row>
    <row r="4" spans="1:10">
      <c r="A4" s="1" t="s">
        <v>1</v>
      </c>
      <c r="B4" s="46">
        <v>0.05</v>
      </c>
      <c r="C4" s="25"/>
      <c r="D4" s="1">
        <f>NPV(B4,C2:D2)</f>
        <v>108.84353741496598</v>
      </c>
      <c r="G4" s="7"/>
    </row>
    <row r="5" spans="1:10">
      <c r="A5" s="1" t="s">
        <v>10</v>
      </c>
      <c r="B5" s="47">
        <f>NPV(B4,B2:D2)</f>
        <v>8.4224165856818853</v>
      </c>
      <c r="C5" s="1"/>
      <c r="D5" s="1">
        <f>B5/D2</f>
        <v>7.018680488068238E-2</v>
      </c>
    </row>
    <row r="6" spans="1:10">
      <c r="A6" s="1" t="s">
        <v>15</v>
      </c>
      <c r="B6" s="44">
        <f>IRR(B2:D2)</f>
        <v>9.5445115010502901E-2</v>
      </c>
      <c r="C6" s="1"/>
      <c r="D6" s="1"/>
      <c r="J6" s="34"/>
    </row>
    <row r="7" spans="1:10">
      <c r="A7" s="1"/>
      <c r="B7" s="1"/>
      <c r="C7" s="1"/>
      <c r="D7" s="1"/>
    </row>
    <row r="8" spans="1:10">
      <c r="A8" s="1"/>
      <c r="B8" s="44"/>
      <c r="C8" s="1"/>
      <c r="D8"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Lab 6.1</vt:lpstr>
      <vt:lpstr>Lab6.2</vt:lpstr>
      <vt:lpstr>Lab6.3</vt:lpstr>
      <vt:lpstr>Lab6.4</vt:lpstr>
      <vt:lpstr>Lab 6.5</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Chalermchon2020</dc:creator>
  <cp:lastModifiedBy>Chalermchon Visayadamrong</cp:lastModifiedBy>
  <dcterms:created xsi:type="dcterms:W3CDTF">2023-03-14T06:36:43Z</dcterms:created>
  <dcterms:modified xsi:type="dcterms:W3CDTF">2026-09-12T17:44:21Z</dcterms:modified>
</cp:coreProperties>
</file>