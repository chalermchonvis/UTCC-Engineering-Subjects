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_Subjects\NL217 โปรแกรมคอมพิวเตอร์ในการแก้ปัญหาทางวิศวกรรม\Excel_Lab\"/>
    </mc:Choice>
  </mc:AlternateContent>
  <xr:revisionPtr revIDLastSave="0" documentId="13_ncr:1_{748D2C08-FE60-43CE-B380-5354822F7F06}" xr6:coauthVersionLast="47" xr6:coauthVersionMax="47" xr10:uidLastSave="{00000000-0000-0000-0000-000000000000}"/>
  <bookViews>
    <workbookView xWindow="-120" yWindow="-120" windowWidth="19440" windowHeight="11520" activeTab="3" xr2:uid="{00000000-000D-0000-FFFF-FFFF00000000}"/>
  </bookViews>
  <sheets>
    <sheet name="Summary_Dashboard" sheetId="1" r:id="rId1"/>
    <sheet name="Item_Master 5-1" sheetId="2" r:id="rId2"/>
    <sheet name="Transactions" sheetId="3" r:id="rId3"/>
    <sheet name="ABC_XYZ_Matrix 5-2" sheetId="4" r:id="rId4"/>
    <sheet name="VBA_Macros_Guid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P5" i="4"/>
  <c r="P6" i="4"/>
  <c r="P7" i="4"/>
  <c r="P8" i="4"/>
  <c r="P9" i="4"/>
  <c r="P10" i="4"/>
  <c r="P11" i="4"/>
  <c r="P12" i="4"/>
  <c r="P13" i="4"/>
  <c r="J5" i="4"/>
  <c r="J6" i="4"/>
  <c r="J7" i="4"/>
  <c r="J8" i="4"/>
  <c r="J9" i="4"/>
  <c r="J10" i="4"/>
  <c r="J11" i="4"/>
  <c r="J12" i="4"/>
  <c r="K12" i="4" s="1"/>
  <c r="L12" i="4" s="1"/>
  <c r="J13" i="4"/>
  <c r="K13" i="4" s="1"/>
  <c r="L13" i="4" s="1"/>
  <c r="J4" i="4"/>
  <c r="K4" i="4" s="1"/>
  <c r="L4" i="4" s="1"/>
  <c r="I4" i="4"/>
  <c r="F6" i="3"/>
  <c r="G6" i="3" s="1"/>
  <c r="F7" i="3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4" i="3"/>
  <c r="G4" i="3" s="1"/>
  <c r="F5" i="3"/>
  <c r="G5" i="3" s="1"/>
  <c r="M4" i="2"/>
  <c r="I13" i="4"/>
  <c r="I12" i="4"/>
  <c r="I11" i="4"/>
  <c r="K10" i="4"/>
  <c r="L10" i="4" s="1"/>
  <c r="I10" i="4"/>
  <c r="K9" i="4"/>
  <c r="L9" i="4" s="1"/>
  <c r="I9" i="4"/>
  <c r="K8" i="4"/>
  <c r="L8" i="4" s="1"/>
  <c r="I8" i="4"/>
  <c r="K7" i="4"/>
  <c r="L7" i="4" s="1"/>
  <c r="I7" i="4"/>
  <c r="K6" i="4"/>
  <c r="L6" i="4" s="1"/>
  <c r="I6" i="4"/>
  <c r="K5" i="4"/>
  <c r="L5" i="4" s="1"/>
  <c r="I5" i="4"/>
  <c r="E19" i="3"/>
  <c r="G7" i="3"/>
  <c r="D14" i="2"/>
  <c r="R13" i="2"/>
  <c r="M13" i="2"/>
  <c r="Q13" i="2" s="1"/>
  <c r="M13" i="4" s="1"/>
  <c r="L13" i="2"/>
  <c r="M12" i="2"/>
  <c r="Q12" i="2" s="1"/>
  <c r="M12" i="4" s="1"/>
  <c r="Q11" i="2"/>
  <c r="M11" i="4" s="1"/>
  <c r="R11" i="2"/>
  <c r="M11" i="2"/>
  <c r="L11" i="2"/>
  <c r="Q10" i="2"/>
  <c r="M10" i="4" s="1"/>
  <c r="M10" i="2"/>
  <c r="L10" i="2"/>
  <c r="M9" i="2"/>
  <c r="Q9" i="2" s="1"/>
  <c r="M9" i="4" s="1"/>
  <c r="R8" i="2"/>
  <c r="M8" i="2"/>
  <c r="Q8" i="2" s="1"/>
  <c r="M8" i="4" s="1"/>
  <c r="M7" i="2"/>
  <c r="Q7" i="2" s="1"/>
  <c r="M7" i="4" s="1"/>
  <c r="L7" i="2"/>
  <c r="R6" i="2"/>
  <c r="M6" i="2"/>
  <c r="Q6" i="2" s="1"/>
  <c r="M6" i="4" s="1"/>
  <c r="L6" i="2"/>
  <c r="Q5" i="2"/>
  <c r="M5" i="4" s="1"/>
  <c r="R5" i="2"/>
  <c r="M5" i="2"/>
  <c r="L5" i="2"/>
  <c r="Q4" i="2"/>
  <c r="D10" i="1" s="1"/>
  <c r="R4" i="2"/>
  <c r="M14" i="2"/>
  <c r="L4" i="2"/>
  <c r="J12" i="1"/>
  <c r="A5" i="1"/>
  <c r="L12" i="2" l="1"/>
  <c r="R12" i="2"/>
  <c r="L9" i="2"/>
  <c r="R9" i="2"/>
  <c r="N4" i="4"/>
  <c r="O4" i="4" s="1"/>
  <c r="R10" i="2"/>
  <c r="K14" i="2"/>
  <c r="R7" i="2"/>
  <c r="R14" i="2" s="1"/>
  <c r="L8" i="2"/>
  <c r="G19" i="3"/>
  <c r="N10" i="4"/>
  <c r="O10" i="4" s="1"/>
  <c r="N8" i="4"/>
  <c r="O8" i="4" s="1"/>
  <c r="K11" i="4"/>
  <c r="L11" i="4" s="1"/>
  <c r="N11" i="4" s="1"/>
  <c r="O11" i="4" s="1"/>
  <c r="N7" i="4"/>
  <c r="O7" i="4" s="1"/>
  <c r="N9" i="4"/>
  <c r="O9" i="4" s="1"/>
  <c r="D12" i="1"/>
  <c r="B12" i="1"/>
  <c r="B11" i="1"/>
  <c r="B10" i="1"/>
  <c r="D11" i="1"/>
  <c r="N5" i="4"/>
  <c r="O5" i="4" s="1"/>
  <c r="N12" i="4"/>
  <c r="O12" i="4" s="1"/>
  <c r="N6" i="4"/>
  <c r="O6" i="4" s="1"/>
  <c r="N13" i="4"/>
  <c r="O13" i="4" s="1"/>
  <c r="J14" i="2"/>
  <c r="C10" i="1" l="1"/>
  <c r="L14" i="2"/>
  <c r="G5" i="1"/>
  <c r="D5" i="1"/>
  <c r="C11" i="1"/>
  <c r="D13" i="1"/>
  <c r="E11" i="1" s="1"/>
  <c r="B13" i="1"/>
  <c r="H11" i="1"/>
  <c r="H10" i="1"/>
  <c r="J5" i="1"/>
  <c r="C12" i="1"/>
  <c r="E12" i="1" l="1"/>
  <c r="I10" i="1"/>
  <c r="H12" i="1"/>
  <c r="I11" i="1"/>
  <c r="C13" i="1"/>
  <c r="E10" i="1"/>
  <c r="E13" i="1" s="1"/>
  <c r="I12" i="1" l="1"/>
</calcChain>
</file>

<file path=xl/sharedStrings.xml><?xml version="1.0" encoding="utf-8"?>
<sst xmlns="http://schemas.openxmlformats.org/spreadsheetml/2006/main" count="244" uniqueCount="179">
  <si>
    <t>WAREHOUSE PERFORMANCE &amp; INVENTORY DASHBOARD</t>
  </si>
  <si>
    <t>คู่มือปฏิบัติการวิศวกรรมโลจิสติกส์ NL217 - สรุปภาพรวมและตัววัดผลคลังสินค้า (KPIs)</t>
  </si>
  <si>
    <t>จำนวน SKU ทั้งหมด</t>
  </si>
  <si>
    <t>มูลค่าสต็อกคงเหลือรวม</t>
  </si>
  <si>
    <t>ต้นทุนการจัดการคลังรวม/ปี</t>
  </si>
  <si>
    <t>เตือนสั่งซื้อเพิ่ม (Reorder)</t>
  </si>
  <si>
    <t>สรุปการจำแนกประเภทสินค้าตามมูลค่า (ABC Classification Breakdown)</t>
  </si>
  <si>
    <t>สถานะระดับสินค้าคงคลัง (Inventory Stock Status Summary)</t>
  </si>
  <si>
    <t>ABC Class</t>
  </si>
  <si>
    <t>จำนวน SKU</t>
  </si>
  <si>
    <t>สัดส่วน SKU %</t>
  </si>
  <si>
    <t>มูลค่าการใช้รวม (บาท)</t>
  </si>
  <si>
    <t>สัดส่วนมูลค่า %</t>
  </si>
  <si>
    <t>สถานะ (Stock Status)</t>
  </si>
  <si>
    <t>สัดส่วน %</t>
  </si>
  <si>
    <t>มูลค่าสินค้าคงเหลือ (บาท)</t>
  </si>
  <si>
    <t>การดำเนินการที่แนะนำ</t>
  </si>
  <si>
    <t>Class A (High Value)</t>
  </si>
  <si>
    <t>Stock Sufficient (เพียงพอ)</t>
  </si>
  <si>
    <t>เฝ้าระวังตามรอบปรกติ</t>
  </si>
  <si>
    <t>Class B (Medium Value)</t>
  </si>
  <si>
    <t>Reorder Needed (ต้องสั่งซื้อ)</t>
  </si>
  <si>
    <t>ออกใบสั่งซื้อ (PO) ทันที</t>
  </si>
  <si>
    <t>Class C (Low Value)</t>
  </si>
  <si>
    <t>รวมทั้งหมด</t>
  </si>
  <si>
    <t>-</t>
  </si>
  <si>
    <t>ตารางหลักข้อมูลสินค้าคงคลังและการคำนวณโมเดล (INVENTORY ITEM MASTER &amp; CONTROL MODEL)</t>
  </si>
  <si>
    <t>การคำนวณอัตโนมัติ: Current Stock, EOQ, Safety Stock, ROP, ABC Class และสถานะการสั่งซื้อ</t>
  </si>
  <si>
    <t>SKU_ID</t>
  </si>
  <si>
    <t>ชื่อสินค้า (Item Name)</t>
  </si>
  <si>
    <t>ราคา/หน่วย (C)</t>
  </si>
  <si>
    <t>อุปสงค์/ปี (D)</t>
  </si>
  <si>
    <t>ค่าสั่งซื้อ/ครั้ง (S)</t>
  </si>
  <si>
    <t>ค่าเก็บรักษา/หน่วย/ปี (H)</t>
  </si>
  <si>
    <t>Lead Time (L-Days)</t>
  </si>
  <si>
    <t>อุปสงค์/วัน (d)</t>
  </si>
  <si>
    <t>Std Dev Demand (σd)</t>
  </si>
  <si>
    <t>ยอดรับเข้า (Inbound)</t>
  </si>
  <si>
    <t>ยอดจ่ายออก (Outbound)</t>
  </si>
  <si>
    <t>สต็อกคงเหลือ (Current Stock)</t>
  </si>
  <si>
    <t>มูลค่าการใช้งาน/ปี (THB)</t>
  </si>
  <si>
    <t>EOQ (หน่วย)</t>
  </si>
  <si>
    <t>Safety Stock (SS)</t>
  </si>
  <si>
    <t>Reorder Point (ROP)</t>
  </si>
  <si>
    <t>ต้นทุนรวมคลัง/ปี (THB)</t>
  </si>
  <si>
    <t>สถานะสั่งซื้อ (Stock Status)</t>
  </si>
  <si>
    <t>SKU-101</t>
  </si>
  <si>
    <t>พาเลทไม้มาตรฐาน</t>
  </si>
  <si>
    <t>SKU-102</t>
  </si>
  <si>
    <t>กล่องกระดาษ L</t>
  </si>
  <si>
    <t>SKU-103</t>
  </si>
  <si>
    <t>ฟิล์มยืดพันพาเลท</t>
  </si>
  <si>
    <t>SKU-104</t>
  </si>
  <si>
    <t>โฟมกันกระแทก</t>
  </si>
  <si>
    <t>SKU-105</t>
  </si>
  <si>
    <t>สายรัดพลาสติก</t>
  </si>
  <si>
    <t>SKU-106</t>
  </si>
  <si>
    <t>ถุงมือเซฟตี้</t>
  </si>
  <si>
    <t>SKU-107</t>
  </si>
  <si>
    <t>เทปกาวปิดกล่อง</t>
  </si>
  <si>
    <t>SKU-108</t>
  </si>
  <si>
    <t>ลังพลาสติกเรียงซ้อน</t>
  </si>
  <si>
    <t>SKU-109</t>
  </si>
  <si>
    <t>บาร์โค้ดสติกเกอร์</t>
  </si>
  <si>
    <t>SKU-110</t>
  </si>
  <si>
    <t>รถยกแฮนด์พาเลท Handlift</t>
  </si>
  <si>
    <t>รวม / เฉลี่ย</t>
  </si>
  <si>
    <t>ตารางบันทึกประวัติการเคลื่อนย้ายสินค้าคงคลัง (TRANSACTION LEDGER)</t>
  </si>
  <si>
    <t>การบันทึกรายการรับเข้า (Inbound) และจ่ายออก (Outbound) สำหรับอัปเดตสต็อกคงเหลือ</t>
  </si>
  <si>
    <t>Trans_ID</t>
  </si>
  <si>
    <t>วันที่ (Date)</t>
  </si>
  <si>
    <t>ประเภทรายการ (Type)</t>
  </si>
  <si>
    <t>จำนวน (Quantity)</t>
  </si>
  <si>
    <t>ราคา/หน่วย (Unit Price)</t>
  </si>
  <si>
    <t>มูลค่ารวม (Total Value)</t>
  </si>
  <si>
    <t>หมายเหตุ (Remarks)</t>
  </si>
  <si>
    <t>TX-001</t>
  </si>
  <si>
    <t>2026-09-01</t>
  </si>
  <si>
    <t>Inbound</t>
  </si>
  <si>
    <t>รับเข้าจาก ซัพพลายเออร์ A</t>
  </si>
  <si>
    <t>TX-002</t>
  </si>
  <si>
    <t>2026-09-02</t>
  </si>
  <si>
    <t>รับเข้าล็อตผลิตที่ 102</t>
  </si>
  <si>
    <t>TX-003</t>
  </si>
  <si>
    <t>2026-09-03</t>
  </si>
  <si>
    <t>Outbound</t>
  </si>
  <si>
    <t>เบิกจ่ายแผนกจัดส่ง</t>
  </si>
  <si>
    <t>TX-004</t>
  </si>
  <si>
    <t>2026-09-04</t>
  </si>
  <si>
    <t>รับเข้าวัตถุดิบพันพาเลท</t>
  </si>
  <si>
    <t>TX-005</t>
  </si>
  <si>
    <t>2026-09-05</t>
  </si>
  <si>
    <t>เบิกจ่ายลูกค้า คลัง B</t>
  </si>
  <si>
    <t>TX-006</t>
  </si>
  <si>
    <t>2026-09-06</t>
  </si>
  <si>
    <t>รับเข้าโฟมกันกระแทก</t>
  </si>
  <si>
    <t>TX-007</t>
  </si>
  <si>
    <t>2026-09-07</t>
  </si>
  <si>
    <t>รับเข้าสายรัดกล่อง</t>
  </si>
  <si>
    <t>TX-008</t>
  </si>
  <si>
    <t>2026-09-08</t>
  </si>
  <si>
    <t>รับเข้าถุงมือเซฟตี้</t>
  </si>
  <si>
    <t>TX-009</t>
  </si>
  <si>
    <t>2026-09-09</t>
  </si>
  <si>
    <t>รับเข้าเทปกาวปิดกล่อง</t>
  </si>
  <si>
    <t>TX-010</t>
  </si>
  <si>
    <t>2026-09-10</t>
  </si>
  <si>
    <t>จ่ายออกให้สายการผลิต</t>
  </si>
  <si>
    <t>TX-011</t>
  </si>
  <si>
    <t>2026-09-11</t>
  </si>
  <si>
    <t>จ่ายออกเบิกใช้งานในคลัง</t>
  </si>
  <si>
    <t>TX-012</t>
  </si>
  <si>
    <t>รับเข้าลังพลาสติกเรียงซ้อน</t>
  </si>
  <si>
    <t>TX-013</t>
  </si>
  <si>
    <t>รับเข้าสติกเกอร์บาร์โค้ด</t>
  </si>
  <si>
    <t>TX-014</t>
  </si>
  <si>
    <t>รับเข้า Handlift เพิ่ม 2 คัน</t>
  </si>
  <si>
    <t>TX-015</t>
  </si>
  <si>
    <t>จ่ายออกแผนกบรรจุภัณฑ์</t>
  </si>
  <si>
    <t>การจำแนกประเภทสินค้าเชิงมิติซ้อน ABC-XYZ MATRIX (DEMAND UNCERTAINTY ANALYSIS)</t>
  </si>
  <si>
    <t>การวิเคราะห์มูลค่าสินค้า (ABC) ร่วมกับความผันผวนของอุปสงค์ (XYZ: Coefficient of Variation - CV)</t>
  </si>
  <si>
    <t>ชื่อสินค้า</t>
  </si>
  <si>
    <t>ยอดขาย ม.ค.</t>
  </si>
  <si>
    <t>ยอดขาย ก.พ.</t>
  </si>
  <si>
    <t>ยอดขาย มี.ค.</t>
  </si>
  <si>
    <t>ยอดขาย เม.ย.</t>
  </si>
  <si>
    <t>ยอดขาย พ.ค.</t>
  </si>
  <si>
    <t>ยอดขาย มิ.ย.</t>
  </si>
  <si>
    <t>อุปสงค์เฉลี่ย/เดือน</t>
  </si>
  <si>
    <t>Std Dev (σ)</t>
  </si>
  <si>
    <t>Coeff of Var (CV)</t>
  </si>
  <si>
    <t>XYZ Class</t>
  </si>
  <si>
    <t>Combined Class</t>
  </si>
  <si>
    <t>กลยุทธ์การจัดการคลังที่แนะนำ</t>
  </si>
  <si>
    <t>คู่มือและโค้ดตัวอย่าง EXCEL VBA MACROS สำหรับระบบคลังสินค้า</t>
  </si>
  <si>
    <t>วิธีเปิดใช้งาน: กด Alt + F11 ใน Excel -&gt; Insert -&gt; Module -&gt; วางโค้ดด้านล่างนี้</t>
  </si>
  <si>
    <t>1. โค้ดวนลูปตรวจสอบสต็อกและแจ้งเตือนสินค้าต่ำกว่าจุดสั่งซื้อ (Stock Alert System)</t>
  </si>
  <si>
    <t>Sub CheckStockAndAlert()</t>
  </si>
  <si>
    <t xml:space="preserve">    Dim ws As Worksheet</t>
  </si>
  <si>
    <t xml:space="preserve">    Set ws = ThisWorkbook.Sheets("Item_Master")</t>
  </si>
  <si>
    <t xml:space="preserve">    Dim lastRow As Long, i As Long</t>
  </si>
  <si>
    <t xml:space="preserve">    Dim alertCount As Integer</t>
  </si>
  <si>
    <t xml:space="preserve">    alertCount = 0</t>
  </si>
  <si>
    <t xml:space="preserve">    </t>
  </si>
  <si>
    <t xml:space="preserve">    lastRow = ws.Cells(ws.Rows.Count, "A").End(xlUp).Row</t>
  </si>
  <si>
    <t xml:space="preserve">    For i = 4 To lastRow</t>
  </si>
  <si>
    <t xml:space="preserve">        ' Col L = Current Stock, Col P = ROP</t>
  </si>
  <si>
    <t xml:space="preserve">        If ws.Cells(i, 12).Value &lt;= ws.Cells(i, 16).Value Then</t>
  </si>
  <si>
    <t xml:space="preserve">            ws.Cells(i, 19).Value = "Reorder Needed"</t>
  </si>
  <si>
    <t xml:space="preserve">            ws.Cells(i, 12).Interior.Color = RGB(255, 199, 206) ' ไฮไลต์สีแดงอ่อน</t>
  </si>
  <si>
    <t xml:space="preserve">            alertCount = alertCount + 1</t>
  </si>
  <si>
    <t xml:space="preserve">        Else</t>
  </si>
  <si>
    <t xml:space="preserve">            ws.Cells(i, 19).Value = "Stock Sufficient"</t>
  </si>
  <si>
    <t xml:space="preserve">            ws.Cells(i, 12).Interior.Color = RGB(198, 239, 206) ' ไฮไลต์สีเขียวอ่อน</t>
  </si>
  <si>
    <t xml:space="preserve">        End If</t>
  </si>
  <si>
    <t xml:space="preserve">    Next i</t>
  </si>
  <si>
    <t xml:space="preserve">    If alertCount &gt; 0 Then</t>
  </si>
  <si>
    <t xml:space="preserve">        MsgBox "เตือน: พบสินค้าต่ำกว่าจุดสั่งซื้อ (ROP) จำนวน " &amp; alertCount &amp; " รายการ!", vbExclamation, "Stock Level Alert"</t>
  </si>
  <si>
    <t xml:space="preserve">    Else</t>
  </si>
  <si>
    <t xml:space="preserve">        MsgBox "ระดับสินค้าคงคลังอยู่ในเกณฑ์ปกติทุกรายการ", vbInformation, "Stock Status Normal"</t>
  </si>
  <si>
    <t xml:space="preserve">    End If</t>
  </si>
  <si>
    <t>End Sub</t>
  </si>
  <si>
    <t>2. โค้ดบันทึกประวัติรับ-จ่ายสินค้าอัตโนมัติ (Automated Transaction Logging)</t>
  </si>
  <si>
    <t>Sub LogTransaction(skuID As String, txType As String, qty As Double, remarks As String)</t>
  </si>
  <si>
    <t xml:space="preserve">    Dim wsTx As Worksheet</t>
  </si>
  <si>
    <t xml:space="preserve">    Set wsTx = ThisWorkbook.Sheets("Transactions")</t>
  </si>
  <si>
    <t xml:space="preserve">    Dim nextRow As Long</t>
  </si>
  <si>
    <t xml:space="preserve">    nextRow = wsTx.Cells(wsTx.Rows.Count, "A").End(xlUp).Row + 1</t>
  </si>
  <si>
    <t xml:space="preserve">    wsTx.Cells(nextRow, 1).Value = "TX-" &amp; Format(nextRow - 3, "000")</t>
  </si>
  <si>
    <t xml:space="preserve">    wsTx.Cells(nextRow, 2).Value = Format(Now(), "YYYY-MM-DD")</t>
  </si>
  <si>
    <t xml:space="preserve">    wsTx.Cells(nextRow, 3).Value = skuID</t>
  </si>
  <si>
    <t xml:space="preserve">    wsTx.Cells(nextRow, 4).Value = txType</t>
  </si>
  <si>
    <t xml:space="preserve">    wsTx.Cells(nextRow, 5).Value = qty</t>
  </si>
  <si>
    <t xml:space="preserve">    wsTx.Cells(nextRow, 6).Formula = "=XLOOKUP(C" &amp; nextRow &amp; ", Item_Master!A:A, Item_Master!C:C, 0)"</t>
  </si>
  <si>
    <t xml:space="preserve">    wsTx.Cells(nextRow, 7).Formula = "=E" &amp; nextRow &amp; "*F" &amp; nextRow</t>
  </si>
  <si>
    <t xml:space="preserve">    wsTx.Cells(nextRow, 8).Value = remarks</t>
  </si>
  <si>
    <t xml:space="preserve">    MsgBox "บันทึกรายการ " &amp; txType &amp; " สำหรับ " &amp; skuID &amp; " สำเร็จ!", vbInformation, "Transaction Saved"</t>
  </si>
  <si>
    <t>https://medium.com/@letta.earth/abc-xyz-inventory-classification-with-python-50ebee552fe4</t>
  </si>
  <si>
    <t>https://beginrabbit.com/2020/12/08/abc-xyz-%e0%b8%81%e0%b8%b2%e0%b8%a3%e0%b8%88%e0%b8%b1%e0%b8%94%e0%b8%81%e0%b8%b2%e0%b8%a3%e0%b8%aa%e0%b8%95%e0%b9%8a%e0%b8%ad%e0%b8%81%e0%b8%aa%e0%b8%b4%e0%b8%99%e0%b8%84%e0%b9%89%e0%b8%b2%e0%b9%83/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</si>
</sst>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4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003366"/>
      <name val="Consolas"/>
      <family val="3"/>
    </font>
    <font>
      <b/>
      <sz val="11"/>
      <color rgb="FF00B050"/>
      <name val="Calibri"/>
      <family val="2"/>
    </font>
    <font>
      <sz val="14"/>
      <color rgb="FF00B050"/>
      <name val="Calibri"/>
      <family val="2"/>
      <scheme val="minor"/>
    </font>
    <font>
      <b/>
      <sz val="11"/>
      <color rgb="FFC00000"/>
      <name val="Calibri"/>
      <family val="2"/>
    </font>
    <font>
      <sz val="14"/>
      <color rgb="FFC00000"/>
      <name val="Calibri"/>
      <family val="2"/>
      <scheme val="minor"/>
    </font>
    <font>
      <b/>
      <sz val="11"/>
      <color rgb="FF0070C0"/>
      <name val="Calibri"/>
      <family val="2"/>
    </font>
    <font>
      <sz val="14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  <fill>
      <patternFill patternType="solid">
        <fgColor rgb="FFDCE6F1"/>
        <bgColor rgb="FFDCE6F1"/>
      </patternFill>
    </fill>
    <fill>
      <patternFill patternType="solid">
        <fgColor rgb="FFF9FBFD"/>
        <bgColor rgb="FFF9FBFD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2F5496"/>
      </top>
      <bottom style="double">
        <color rgb="FF2F5496"/>
      </bottom>
      <diagonal/>
    </border>
    <border>
      <left style="thin">
        <color rgb="FFFFFFFF"/>
      </left>
      <right style="thin">
        <color rgb="FFFFFFFF"/>
      </right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/>
    <xf numFmtId="164" fontId="5" fillId="0" borderId="1" xfId="0" applyNumberFormat="1" applyFont="1" applyBorder="1"/>
    <xf numFmtId="0" fontId="6" fillId="5" borderId="2" xfId="0" applyFont="1" applyFill="1" applyBorder="1"/>
    <xf numFmtId="3" fontId="6" fillId="5" borderId="2" xfId="0" applyNumberFormat="1" applyFont="1" applyFill="1" applyBorder="1"/>
    <xf numFmtId="164" fontId="6" fillId="5" borderId="2" xfId="0" applyNumberFormat="1" applyFont="1" applyFill="1" applyBorder="1"/>
    <xf numFmtId="0" fontId="0" fillId="5" borderId="2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5" fillId="6" borderId="0" xfId="0" applyNumberFormat="1" applyFont="1" applyFill="1"/>
    <xf numFmtId="165" fontId="5" fillId="6" borderId="0" xfId="0" applyNumberFormat="1" applyFont="1" applyFill="1"/>
    <xf numFmtId="3" fontId="6" fillId="3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/>
    <xf numFmtId="0" fontId="5" fillId="7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/>
    <xf numFmtId="165" fontId="6" fillId="3" borderId="1" xfId="0" applyNumberFormat="1" applyFont="1" applyFill="1" applyBorder="1"/>
    <xf numFmtId="2" fontId="6" fillId="3" borderId="1" xfId="0" applyNumberFormat="1" applyFont="1" applyFill="1" applyBorder="1"/>
    <xf numFmtId="0" fontId="6" fillId="3" borderId="1" xfId="0" applyFont="1" applyFill="1" applyBorder="1" applyAlignment="1">
      <alignment horizontal="left" vertical="center"/>
    </xf>
    <xf numFmtId="0" fontId="3" fillId="2" borderId="0" xfId="0" applyFont="1" applyFill="1"/>
    <xf numFmtId="0" fontId="7" fillId="0" borderId="0" xfId="0" applyFont="1"/>
    <xf numFmtId="3" fontId="8" fillId="3" borderId="1" xfId="0" applyNumberFormat="1" applyFont="1" applyFill="1" applyBorder="1"/>
    <xf numFmtId="3" fontId="10" fillId="3" borderId="1" xfId="0" applyNumberFormat="1" applyFont="1" applyFill="1" applyBorder="1"/>
    <xf numFmtId="0" fontId="0" fillId="8" borderId="0" xfId="0" applyFill="1"/>
    <xf numFmtId="0" fontId="9" fillId="8" borderId="0" xfId="0" applyFont="1" applyFill="1"/>
    <xf numFmtId="0" fontId="11" fillId="8" borderId="0" xfId="0" applyFont="1" applyFill="1"/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8" borderId="0" xfId="0" applyFont="1" applyFill="1"/>
    <xf numFmtId="0" fontId="3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h-TH"/>
              <a:t>มูลค่าการใช้งานต่อปีราย </a:t>
            </a:r>
            <a:r>
              <a:rPr lang="en-US"/>
              <a:t>SKU (Annual Consumption Value - THB)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Summary_Dashboard!$D$9</c:f>
              <c:strCache>
                <c:ptCount val="1"/>
                <c:pt idx="0">
                  <c:v>มูลค่าการใช้รวม (บาท)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Summary_Dashboard!$A$10:$A$12</c:f>
              <c:strCache>
                <c:ptCount val="3"/>
                <c:pt idx="0">
                  <c:v>Class A (High Value)</c:v>
                </c:pt>
                <c:pt idx="1">
                  <c:v>Class B (Medium Value)</c:v>
                </c:pt>
                <c:pt idx="2">
                  <c:v>Class C (Low Value)</c:v>
                </c:pt>
              </c:strCache>
            </c:strRef>
          </c:cat>
          <c:val>
            <c:numRef>
              <c:f>Summary_Dashboard!$D$10:$D$12</c:f>
              <c:numCache>
                <c:formatCode>#,##0</c:formatCode>
                <c:ptCount val="3"/>
                <c:pt idx="0">
                  <c:v>11925000</c:v>
                </c:pt>
                <c:pt idx="1">
                  <c:v>1335000</c:v>
                </c:pt>
                <c:pt idx="2">
                  <c:v>288000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9-4B19-9290-3108E16B0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มูลค่า (บาท)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1495425</xdr:colOff>
      <xdr:row>14</xdr:row>
      <xdr:rowOff>123825</xdr:rowOff>
    </xdr:from>
    <xdr:to>
      <xdr:col>12</xdr:col>
      <xdr:colOff>1648776</xdr:colOff>
      <xdr:row>21</xdr:row>
      <xdr:rowOff>9695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DDF6F6-E072-B141-3429-8EC0E872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914650"/>
          <a:ext cx="6811326" cy="1219370"/>
        </a:xfrm>
        <a:prstGeom prst="rect">
          <a:avLst/>
        </a:prstGeom>
      </xdr:spPr>
    </xdr:pic>
    <xdr:clientData/>
  </xdr:twoCellAnchor>
  <xdr:twoCellAnchor editAs="oneCell">
    <xdr:from>
      <xdr:col>13</xdr:col>
      <xdr:colOff>438150</xdr:colOff>
      <xdr:row>15</xdr:row>
      <xdr:rowOff>28575</xdr:rowOff>
    </xdr:from>
    <xdr:to>
      <xdr:col>16</xdr:col>
      <xdr:colOff>400729</xdr:colOff>
      <xdr:row>21</xdr:row>
      <xdr:rowOff>152577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C10461-0D70-84BC-D594-1DAE647E2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64400" y="3009900"/>
          <a:ext cx="4867954" cy="1267002"/>
        </a:xfrm>
        <a:prstGeom prst="rect">
          <a:avLst/>
        </a:prstGeom>
      </xdr:spPr>
    </xdr:pic>
    <xdr:clientData/>
  </xdr:twoCellAnchor>
  <xdr:twoCellAnchor editAs="oneCell">
    <xdr:from>
      <xdr:col>8</xdr:col>
      <xdr:colOff>1495425</xdr:colOff>
      <xdr:row>21</xdr:row>
      <xdr:rowOff>47625</xdr:rowOff>
    </xdr:from>
    <xdr:to>
      <xdr:col>13</xdr:col>
      <xdr:colOff>458245</xdr:colOff>
      <xdr:row>25</xdr:row>
      <xdr:rowOff>19152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54F3CD-BFE8-8993-5453-E4823BC8E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6800" y="4171950"/>
          <a:ext cx="7487695" cy="733527"/>
        </a:xfrm>
        <a:prstGeom prst="rect">
          <a:avLst/>
        </a:prstGeom>
      </xdr:spPr>
    </xdr:pic>
    <xdr:clientData/>
  </xdr:twoCellAnchor>
  <xdr:twoCellAnchor editAs="oneCell">
    <xdr:from>
      <xdr:col>17</xdr:col>
      <xdr:colOff>2924175</xdr:colOff>
      <xdr:row>14</xdr:row>
      <xdr:rowOff>161925</xdr:rowOff>
    </xdr:from>
    <xdr:to>
      <xdr:col>22</xdr:col>
      <xdr:colOff>162449</xdr:colOff>
      <xdr:row>21</xdr:row>
      <xdr:rowOff>66848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EED758-5864-2D29-4C96-43C4283C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622875" y="2952750"/>
          <a:ext cx="3753374" cy="12384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847725</xdr:colOff>
      <xdr:row>20</xdr:row>
      <xdr:rowOff>34124</xdr:rowOff>
    </xdr:from>
    <xdr:to>
      <xdr:col>10</xdr:col>
      <xdr:colOff>123825</xdr:colOff>
      <xdr:row>38</xdr:row>
      <xdr:rowOff>92350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1CF80-DF50-97FF-52DC-F13C6A9E7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0725" y="3882224"/>
          <a:ext cx="5934075" cy="3487226"/>
        </a:xfrm>
        <a:prstGeom prst="rect">
          <a:avLst/>
        </a:prstGeom>
      </xdr:spPr>
    </xdr:pic>
    <xdr:clientData/>
  </xdr:twoCellAnchor>
  <xdr:twoCellAnchor editAs="oneCell">
    <xdr:from>
      <xdr:col>0</xdr:col>
      <xdr:colOff>289992</xdr:colOff>
      <xdr:row>16</xdr:row>
      <xdr:rowOff>129908</xdr:rowOff>
    </xdr:from>
    <xdr:to>
      <xdr:col>5</xdr:col>
      <xdr:colOff>116637</xdr:colOff>
      <xdr:row>36</xdr:row>
      <xdr:rowOff>130440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9D5CA-5939-54C4-D1C5-828CADC65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992" y="3211526"/>
          <a:ext cx="5844204" cy="3810532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22</xdr:row>
      <xdr:rowOff>28575</xdr:rowOff>
    </xdr:from>
    <xdr:to>
      <xdr:col>14</xdr:col>
      <xdr:colOff>2067638</xdr:colOff>
      <xdr:row>28</xdr:row>
      <xdr:rowOff>57314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941054-C32E-BCE8-DF60-28FDA1E30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73100" y="4257675"/>
          <a:ext cx="5106113" cy="1171739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28</xdr:row>
      <xdr:rowOff>66675</xdr:rowOff>
    </xdr:from>
    <xdr:to>
      <xdr:col>14</xdr:col>
      <xdr:colOff>2115269</xdr:colOff>
      <xdr:row>34</xdr:row>
      <xdr:rowOff>76361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88AC24-B876-F300-2C69-519B57552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73100" y="5438775"/>
          <a:ext cx="5153744" cy="1152686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16</xdr:row>
      <xdr:rowOff>9525</xdr:rowOff>
    </xdr:from>
    <xdr:to>
      <xdr:col>13</xdr:col>
      <xdr:colOff>905451</xdr:colOff>
      <xdr:row>21</xdr:row>
      <xdr:rowOff>162079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131FF6-E74B-2B13-E8E4-392124EA0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91975" y="3095625"/>
          <a:ext cx="4124901" cy="1105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F17" sqref="F17"/>
    </sheetView>
  </sheetViews>
  <sheetFormatPr defaultRowHeight="15" x14ac:dyDescent="0.25"/>
  <cols>
    <col min="1" max="1" width="28" customWidth="1"/>
    <col min="2" max="3" width="16" customWidth="1"/>
    <col min="4" max="4" width="24" customWidth="1"/>
    <col min="5" max="5" width="16" customWidth="1"/>
    <col min="6" max="6" width="12" customWidth="1"/>
    <col min="7" max="7" width="28" customWidth="1"/>
    <col min="8" max="9" width="16" customWidth="1"/>
    <col min="10" max="10" width="26" customWidth="1"/>
    <col min="11" max="11" width="24" customWidth="1"/>
  </cols>
  <sheetData>
    <row r="1" spans="1:11" ht="21" x14ac:dyDescent="0.35">
      <c r="A1" s="1" t="s">
        <v>0</v>
      </c>
    </row>
    <row r="2" spans="1:11" x14ac:dyDescent="0.25">
      <c r="A2" s="2" t="s">
        <v>1</v>
      </c>
    </row>
    <row r="4" spans="1:11" ht="15.75" x14ac:dyDescent="0.25">
      <c r="A4" s="38" t="s">
        <v>2</v>
      </c>
      <c r="B4" s="37"/>
      <c r="D4" s="38" t="s">
        <v>3</v>
      </c>
      <c r="E4" s="37"/>
      <c r="G4" s="38" t="s">
        <v>4</v>
      </c>
      <c r="H4" s="37"/>
      <c r="J4" s="38" t="s">
        <v>5</v>
      </c>
      <c r="K4" s="37"/>
    </row>
    <row r="5" spans="1:11" ht="21" x14ac:dyDescent="0.25">
      <c r="A5" s="39">
        <f>COUNTA('Item_Master 5-1'!A4:A13)</f>
        <v>10</v>
      </c>
      <c r="B5" s="37"/>
      <c r="D5" s="39">
        <f>SUMPRODUCT('Item_Master 5-1'!C4:C13, 'Item_Master 5-1'!L4:L13)</f>
        <v>0</v>
      </c>
      <c r="E5" s="37"/>
      <c r="G5" s="39" t="e">
        <f>SUM('Item_Master 5-1'!R4:R13)</f>
        <v>#DIV/0!</v>
      </c>
      <c r="H5" s="37"/>
      <c r="J5" s="39">
        <f>COUNTIF('Item_Master 5-1'!S4:S13, "Reorder Needed")</f>
        <v>0</v>
      </c>
      <c r="K5" s="37"/>
    </row>
    <row r="8" spans="1:11" ht="15.75" x14ac:dyDescent="0.25">
      <c r="A8" s="36" t="s">
        <v>6</v>
      </c>
      <c r="B8" s="37"/>
      <c r="C8" s="37"/>
      <c r="D8" s="37"/>
      <c r="E8" s="37"/>
      <c r="G8" s="36" t="s">
        <v>7</v>
      </c>
      <c r="H8" s="37"/>
      <c r="I8" s="37"/>
      <c r="J8" s="37"/>
      <c r="K8" s="37"/>
    </row>
    <row r="9" spans="1:1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G9" s="3" t="s">
        <v>13</v>
      </c>
      <c r="H9" s="3" t="s">
        <v>9</v>
      </c>
      <c r="I9" s="3" t="s">
        <v>14</v>
      </c>
      <c r="J9" s="3" t="s">
        <v>15</v>
      </c>
      <c r="K9" s="3" t="s">
        <v>16</v>
      </c>
    </row>
    <row r="10" spans="1:11" x14ac:dyDescent="0.25">
      <c r="A10" s="4" t="s">
        <v>17</v>
      </c>
      <c r="B10" s="5">
        <f>COUNTIF('Item_Master 5-1'!Q4:Q13, "A")</f>
        <v>7</v>
      </c>
      <c r="C10" s="6">
        <f>B10/SUM($B$10:$B$12)</f>
        <v>0.7</v>
      </c>
      <c r="D10" s="5">
        <f>SUMIF('Item_Master 5-1'!Q4:Q13, "A", 'Item_Master 5-1'!M4:M13)</f>
        <v>11925000</v>
      </c>
      <c r="E10" s="6">
        <f>D10/$D$13</f>
        <v>0.88020372010628878</v>
      </c>
      <c r="G10" s="4" t="s">
        <v>18</v>
      </c>
      <c r="H10" s="5">
        <f>COUNTIF('Item_Master 5-1'!S4:S13, "Stock Sufficient")</f>
        <v>0</v>
      </c>
      <c r="I10" s="6" t="e">
        <f>H10/SUM($H$10:$H$11)</f>
        <v>#DIV/0!</v>
      </c>
      <c r="J10" s="5"/>
      <c r="K10" s="4" t="s">
        <v>19</v>
      </c>
    </row>
    <row r="11" spans="1:11" x14ac:dyDescent="0.25">
      <c r="A11" s="4" t="s">
        <v>20</v>
      </c>
      <c r="B11" s="5">
        <f>COUNTIF('Item_Master 5-1'!Q4:Q13, "B")</f>
        <v>2</v>
      </c>
      <c r="C11" s="6">
        <f>B11/SUM($B$10:$B$12)</f>
        <v>0.2</v>
      </c>
      <c r="D11" s="5">
        <f>SUMIF('Item_Master 5-1'!Q4:Q13, "B", 'Item_Master 5-1'!M4:M13)</f>
        <v>1335000</v>
      </c>
      <c r="E11" s="6">
        <f>D11/$D$13</f>
        <v>9.8538529672276345E-2</v>
      </c>
      <c r="G11" s="4" t="s">
        <v>21</v>
      </c>
      <c r="H11" s="5">
        <f>COUNTIF('Item_Master 5-1'!S4:S13, "Reorder Needed")</f>
        <v>0</v>
      </c>
      <c r="I11" s="6" t="e">
        <f>H11/SUM($H$10:$H$11)</f>
        <v>#DIV/0!</v>
      </c>
      <c r="J11" s="5"/>
      <c r="K11" s="4" t="s">
        <v>22</v>
      </c>
    </row>
    <row r="12" spans="1:11" x14ac:dyDescent="0.25">
      <c r="A12" s="4" t="s">
        <v>23</v>
      </c>
      <c r="B12" s="5">
        <f>COUNTIF('Item_Master 5-1'!Q4:Q13, "C")</f>
        <v>1</v>
      </c>
      <c r="C12" s="6">
        <f>B12/SUM($B$10:$B$12)</f>
        <v>0.1</v>
      </c>
      <c r="D12" s="5">
        <f>SUMIF('Item_Master 5-1'!Q4:Q13, "C", 'Item_Master 5-1'!M4:M13)</f>
        <v>288000</v>
      </c>
      <c r="E12" s="6">
        <f>D12/$D$13</f>
        <v>2.1257750221434897E-2</v>
      </c>
      <c r="G12" s="7" t="s">
        <v>24</v>
      </c>
      <c r="H12" s="8">
        <f>SUM(H10:H11)</f>
        <v>0</v>
      </c>
      <c r="I12" s="9" t="e">
        <f>SUM(I10:I11)</f>
        <v>#DIV/0!</v>
      </c>
      <c r="J12" s="8">
        <f>SUM(J10:J11)</f>
        <v>0</v>
      </c>
      <c r="K12" s="10" t="s">
        <v>25</v>
      </c>
    </row>
    <row r="13" spans="1:11" x14ac:dyDescent="0.25">
      <c r="A13" s="7" t="s">
        <v>24</v>
      </c>
      <c r="B13" s="8">
        <f>SUM(B10:B12)</f>
        <v>10</v>
      </c>
      <c r="C13" s="9">
        <f>SUM(C10:C12)</f>
        <v>0.99999999999999989</v>
      </c>
      <c r="D13" s="8">
        <f>SUM(D10:D12)</f>
        <v>13548000</v>
      </c>
      <c r="E13" s="9">
        <f>SUM(E10:E12)</f>
        <v>1</v>
      </c>
    </row>
  </sheetData>
  <mergeCells count="10">
    <mergeCell ref="A8:E8"/>
    <mergeCell ref="G8:K8"/>
    <mergeCell ref="A4:B4"/>
    <mergeCell ref="G4:H4"/>
    <mergeCell ref="J4:K4"/>
    <mergeCell ref="J5:K5"/>
    <mergeCell ref="D5:E5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topLeftCell="P6" workbookViewId="0">
      <selection activeCell="S19" sqref="S19"/>
    </sheetView>
  </sheetViews>
  <sheetFormatPr defaultRowHeight="15" x14ac:dyDescent="0.25"/>
  <cols>
    <col min="1" max="1" width="20.140625" customWidth="1"/>
    <col min="2" max="2" width="28" customWidth="1"/>
    <col min="3" max="3" width="18" customWidth="1"/>
    <col min="4" max="4" width="16.28515625" customWidth="1"/>
    <col min="5" max="5" width="19.85546875" customWidth="1"/>
    <col min="6" max="6" width="27" customWidth="1"/>
    <col min="7" max="7" width="20.42578125" customWidth="1"/>
    <col min="8" max="8" width="15.28515625" customWidth="1"/>
    <col min="9" max="9" width="23" customWidth="1"/>
    <col min="10" max="10" width="21.140625" customWidth="1"/>
    <col min="11" max="11" width="24.28515625" customWidth="1"/>
    <col min="12" max="12" width="31.42578125" customWidth="1"/>
    <col min="13" max="13" width="28" customWidth="1"/>
    <col min="14" max="14" width="26" customWidth="1"/>
    <col min="15" max="15" width="24.5703125" customWidth="1"/>
    <col min="16" max="16" width="23" customWidth="1"/>
    <col min="17" max="17" width="49" customWidth="1"/>
    <col min="18" max="18" width="44" customWidth="1"/>
    <col min="19" max="19" width="26.28515625" customWidth="1"/>
  </cols>
  <sheetData>
    <row r="1" spans="1:19" ht="21" x14ac:dyDescent="0.35">
      <c r="A1" s="1" t="s">
        <v>26</v>
      </c>
    </row>
    <row r="2" spans="1:19" ht="18.75" x14ac:dyDescent="0.3">
      <c r="A2" s="2" t="s">
        <v>27</v>
      </c>
      <c r="J2" s="30"/>
      <c r="K2" s="31"/>
      <c r="N2" s="32"/>
      <c r="O2" s="31"/>
      <c r="P2" s="32"/>
      <c r="S2" s="31"/>
    </row>
    <row r="3" spans="1:19" x14ac:dyDescent="0.25">
      <c r="A3" s="11" t="s">
        <v>28</v>
      </c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41</v>
      </c>
      <c r="O3" s="11" t="s">
        <v>42</v>
      </c>
      <c r="P3" s="11" t="s">
        <v>43</v>
      </c>
      <c r="Q3" s="11" t="s">
        <v>8</v>
      </c>
      <c r="R3" s="11" t="s">
        <v>44</v>
      </c>
      <c r="S3" s="11" t="s">
        <v>45</v>
      </c>
    </row>
    <row r="4" spans="1:19" x14ac:dyDescent="0.25">
      <c r="A4" s="12" t="s">
        <v>46</v>
      </c>
      <c r="B4" s="13" t="s">
        <v>47</v>
      </c>
      <c r="C4" s="14">
        <v>350</v>
      </c>
      <c r="D4" s="14">
        <v>12000</v>
      </c>
      <c r="E4" s="14">
        <v>1500</v>
      </c>
      <c r="F4" s="15">
        <v>70</v>
      </c>
      <c r="G4" s="14">
        <v>5</v>
      </c>
      <c r="H4" s="15">
        <v>40</v>
      </c>
      <c r="I4" s="15">
        <v>8</v>
      </c>
      <c r="J4" s="29"/>
      <c r="K4" s="28"/>
      <c r="L4" s="16">
        <f t="shared" ref="L4:L13" si="0">J4-K4</f>
        <v>0</v>
      </c>
      <c r="M4" s="16">
        <f>C4*D4</f>
        <v>4200000</v>
      </c>
      <c r="N4" s="29"/>
      <c r="O4" s="28"/>
      <c r="P4" s="29"/>
      <c r="Q4" s="17" t="str">
        <f t="shared" ref="Q4:Q13" si="1">IF(M4&gt;=1000000,"A",IF(M4&gt;=300000,"B","C"))</f>
        <v>A</v>
      </c>
      <c r="R4" s="16" t="e">
        <f t="shared" ref="R4:R13" si="2">((D4/N4)*E4)+((N4/2)*F4)+(O4*F4)</f>
        <v>#DIV/0!</v>
      </c>
      <c r="S4" s="17"/>
    </row>
    <row r="5" spans="1:19" x14ac:dyDescent="0.25">
      <c r="A5" s="12" t="s">
        <v>48</v>
      </c>
      <c r="B5" s="13" t="s">
        <v>49</v>
      </c>
      <c r="C5" s="14">
        <v>25</v>
      </c>
      <c r="D5" s="14">
        <v>45000</v>
      </c>
      <c r="E5" s="14">
        <v>800</v>
      </c>
      <c r="F5" s="15">
        <v>5</v>
      </c>
      <c r="G5" s="14">
        <v>3</v>
      </c>
      <c r="H5" s="15">
        <v>150</v>
      </c>
      <c r="I5" s="15">
        <v>25</v>
      </c>
      <c r="J5" s="16"/>
      <c r="K5" s="16"/>
      <c r="L5" s="16">
        <f t="shared" si="0"/>
        <v>0</v>
      </c>
      <c r="M5" s="16">
        <f t="shared" ref="M5:M13" si="3">C5*D5</f>
        <v>1125000</v>
      </c>
      <c r="N5" s="16"/>
      <c r="O5" s="16"/>
      <c r="P5" s="16"/>
      <c r="Q5" s="17" t="str">
        <f t="shared" si="1"/>
        <v>A</v>
      </c>
      <c r="R5" s="16" t="e">
        <f t="shared" si="2"/>
        <v>#DIV/0!</v>
      </c>
      <c r="S5" s="17"/>
    </row>
    <row r="6" spans="1:19" x14ac:dyDescent="0.25">
      <c r="A6" s="12" t="s">
        <v>50</v>
      </c>
      <c r="B6" s="13" t="s">
        <v>51</v>
      </c>
      <c r="C6" s="14">
        <v>180</v>
      </c>
      <c r="D6" s="14">
        <v>6500</v>
      </c>
      <c r="E6" s="14">
        <v>1200</v>
      </c>
      <c r="F6" s="15">
        <v>36</v>
      </c>
      <c r="G6" s="14">
        <v>7</v>
      </c>
      <c r="H6" s="15">
        <v>22</v>
      </c>
      <c r="I6" s="15">
        <v>9</v>
      </c>
      <c r="J6" s="16"/>
      <c r="K6" s="16"/>
      <c r="L6" s="16">
        <f t="shared" si="0"/>
        <v>0</v>
      </c>
      <c r="M6" s="16">
        <f t="shared" si="3"/>
        <v>1170000</v>
      </c>
      <c r="N6" s="16"/>
      <c r="O6" s="16"/>
      <c r="P6" s="16"/>
      <c r="Q6" s="17" t="str">
        <f t="shared" si="1"/>
        <v>A</v>
      </c>
      <c r="R6" s="16" t="e">
        <f t="shared" si="2"/>
        <v>#DIV/0!</v>
      </c>
      <c r="S6" s="17"/>
    </row>
    <row r="7" spans="1:19" x14ac:dyDescent="0.25">
      <c r="A7" s="12" t="s">
        <v>52</v>
      </c>
      <c r="B7" s="13" t="s">
        <v>53</v>
      </c>
      <c r="C7" s="14">
        <v>120</v>
      </c>
      <c r="D7" s="14">
        <v>2400</v>
      </c>
      <c r="E7" s="14">
        <v>1000</v>
      </c>
      <c r="F7" s="15">
        <v>24</v>
      </c>
      <c r="G7" s="14">
        <v>10</v>
      </c>
      <c r="H7" s="15">
        <v>8</v>
      </c>
      <c r="I7" s="15">
        <v>5</v>
      </c>
      <c r="J7" s="16"/>
      <c r="K7" s="16"/>
      <c r="L7" s="16">
        <f t="shared" si="0"/>
        <v>0</v>
      </c>
      <c r="M7" s="16">
        <f t="shared" si="3"/>
        <v>288000</v>
      </c>
      <c r="N7" s="16"/>
      <c r="O7" s="16"/>
      <c r="P7" s="16"/>
      <c r="Q7" s="17" t="str">
        <f t="shared" si="1"/>
        <v>C</v>
      </c>
      <c r="R7" s="16" t="e">
        <f t="shared" si="2"/>
        <v>#DIV/0!</v>
      </c>
      <c r="S7" s="17"/>
    </row>
    <row r="8" spans="1:19" x14ac:dyDescent="0.25">
      <c r="A8" s="12" t="s">
        <v>54</v>
      </c>
      <c r="B8" s="13" t="s">
        <v>55</v>
      </c>
      <c r="C8" s="14">
        <v>450</v>
      </c>
      <c r="D8" s="14">
        <v>800</v>
      </c>
      <c r="E8" s="14">
        <v>1500</v>
      </c>
      <c r="F8" s="15">
        <v>90</v>
      </c>
      <c r="G8" s="14">
        <v>14</v>
      </c>
      <c r="H8" s="15">
        <v>3</v>
      </c>
      <c r="I8" s="15">
        <v>2</v>
      </c>
      <c r="J8" s="16"/>
      <c r="K8" s="16"/>
      <c r="L8" s="16">
        <f t="shared" si="0"/>
        <v>0</v>
      </c>
      <c r="M8" s="16">
        <f t="shared" si="3"/>
        <v>360000</v>
      </c>
      <c r="N8" s="16"/>
      <c r="O8" s="16"/>
      <c r="P8" s="16"/>
      <c r="Q8" s="17" t="str">
        <f t="shared" si="1"/>
        <v>B</v>
      </c>
      <c r="R8" s="16" t="e">
        <f t="shared" si="2"/>
        <v>#DIV/0!</v>
      </c>
      <c r="S8" s="17"/>
    </row>
    <row r="9" spans="1:19" x14ac:dyDescent="0.25">
      <c r="A9" s="12" t="s">
        <v>56</v>
      </c>
      <c r="B9" s="13" t="s">
        <v>57</v>
      </c>
      <c r="C9" s="14">
        <v>85</v>
      </c>
      <c r="D9" s="14">
        <v>18000</v>
      </c>
      <c r="E9" s="14">
        <v>600</v>
      </c>
      <c r="F9" s="15">
        <v>17</v>
      </c>
      <c r="G9" s="14">
        <v>4</v>
      </c>
      <c r="H9" s="15">
        <v>60</v>
      </c>
      <c r="I9" s="15">
        <v>12</v>
      </c>
      <c r="J9" s="16"/>
      <c r="K9" s="16"/>
      <c r="L9" s="16">
        <f t="shared" si="0"/>
        <v>0</v>
      </c>
      <c r="M9" s="16">
        <f t="shared" si="3"/>
        <v>1530000</v>
      </c>
      <c r="N9" s="16"/>
      <c r="O9" s="16"/>
      <c r="P9" s="16"/>
      <c r="Q9" s="17" t="str">
        <f t="shared" si="1"/>
        <v>A</v>
      </c>
      <c r="R9" s="16" t="e">
        <f t="shared" si="2"/>
        <v>#DIV/0!</v>
      </c>
      <c r="S9" s="17"/>
    </row>
    <row r="10" spans="1:19" x14ac:dyDescent="0.25">
      <c r="A10" s="12" t="s">
        <v>58</v>
      </c>
      <c r="B10" s="13" t="s">
        <v>59</v>
      </c>
      <c r="C10" s="14">
        <v>45</v>
      </c>
      <c r="D10" s="14">
        <v>32000</v>
      </c>
      <c r="E10" s="14">
        <v>500</v>
      </c>
      <c r="F10" s="15">
        <v>9</v>
      </c>
      <c r="G10" s="14">
        <v>5</v>
      </c>
      <c r="H10" s="15">
        <v>107</v>
      </c>
      <c r="I10" s="15">
        <v>18</v>
      </c>
      <c r="J10" s="16"/>
      <c r="K10" s="16"/>
      <c r="L10" s="16">
        <f t="shared" si="0"/>
        <v>0</v>
      </c>
      <c r="M10" s="16">
        <f t="shared" si="3"/>
        <v>1440000</v>
      </c>
      <c r="N10" s="16"/>
      <c r="O10" s="16"/>
      <c r="P10" s="16"/>
      <c r="Q10" s="17" t="str">
        <f t="shared" si="1"/>
        <v>A</v>
      </c>
      <c r="R10" s="16" t="e">
        <f t="shared" si="2"/>
        <v>#DIV/0!</v>
      </c>
      <c r="S10" s="17"/>
    </row>
    <row r="11" spans="1:19" x14ac:dyDescent="0.25">
      <c r="A11" s="12" t="s">
        <v>60</v>
      </c>
      <c r="B11" s="13" t="s">
        <v>61</v>
      </c>
      <c r="C11" s="14">
        <v>650</v>
      </c>
      <c r="D11" s="14">
        <v>1500</v>
      </c>
      <c r="E11" s="14">
        <v>2000</v>
      </c>
      <c r="F11" s="15">
        <v>130</v>
      </c>
      <c r="G11" s="14">
        <v>12</v>
      </c>
      <c r="H11" s="15">
        <v>5</v>
      </c>
      <c r="I11" s="15">
        <v>3</v>
      </c>
      <c r="J11" s="16"/>
      <c r="K11" s="16"/>
      <c r="L11" s="16">
        <f t="shared" si="0"/>
        <v>0</v>
      </c>
      <c r="M11" s="16">
        <f t="shared" si="3"/>
        <v>975000</v>
      </c>
      <c r="N11" s="16"/>
      <c r="O11" s="16"/>
      <c r="P11" s="16"/>
      <c r="Q11" s="17" t="str">
        <f t="shared" si="1"/>
        <v>B</v>
      </c>
      <c r="R11" s="16" t="e">
        <f t="shared" si="2"/>
        <v>#DIV/0!</v>
      </c>
      <c r="S11" s="17"/>
    </row>
    <row r="12" spans="1:19" x14ac:dyDescent="0.25">
      <c r="A12" s="12" t="s">
        <v>62</v>
      </c>
      <c r="B12" s="13" t="s">
        <v>63</v>
      </c>
      <c r="C12" s="14">
        <v>12</v>
      </c>
      <c r="D12" s="14">
        <v>120000</v>
      </c>
      <c r="E12" s="14">
        <v>400</v>
      </c>
      <c r="F12" s="15">
        <v>2.4</v>
      </c>
      <c r="G12" s="14">
        <v>2</v>
      </c>
      <c r="H12" s="15">
        <v>400</v>
      </c>
      <c r="I12" s="15">
        <v>50</v>
      </c>
      <c r="J12" s="16"/>
      <c r="K12" s="16"/>
      <c r="L12" s="16">
        <f t="shared" si="0"/>
        <v>0</v>
      </c>
      <c r="M12" s="16">
        <f t="shared" si="3"/>
        <v>1440000</v>
      </c>
      <c r="N12" s="16"/>
      <c r="O12" s="16"/>
      <c r="P12" s="16"/>
      <c r="Q12" s="17" t="str">
        <f t="shared" si="1"/>
        <v>A</v>
      </c>
      <c r="R12" s="16" t="e">
        <f t="shared" si="2"/>
        <v>#DIV/0!</v>
      </c>
      <c r="S12" s="17"/>
    </row>
    <row r="13" spans="1:19" x14ac:dyDescent="0.25">
      <c r="A13" s="12" t="s">
        <v>64</v>
      </c>
      <c r="B13" s="13" t="s">
        <v>65</v>
      </c>
      <c r="C13" s="14">
        <v>8500</v>
      </c>
      <c r="D13" s="14">
        <v>120</v>
      </c>
      <c r="E13" s="14">
        <v>3000</v>
      </c>
      <c r="F13" s="15">
        <v>1700</v>
      </c>
      <c r="G13" s="14">
        <v>20</v>
      </c>
      <c r="H13" s="15">
        <v>0.4</v>
      </c>
      <c r="I13" s="15">
        <v>0.2</v>
      </c>
      <c r="J13" s="16"/>
      <c r="K13" s="16"/>
      <c r="L13" s="16">
        <f t="shared" si="0"/>
        <v>0</v>
      </c>
      <c r="M13" s="16">
        <f t="shared" si="3"/>
        <v>1020000</v>
      </c>
      <c r="N13" s="16"/>
      <c r="O13" s="16"/>
      <c r="P13" s="16"/>
      <c r="Q13" s="17" t="str">
        <f t="shared" si="1"/>
        <v>A</v>
      </c>
      <c r="R13" s="16" t="e">
        <f t="shared" si="2"/>
        <v>#DIV/0!</v>
      </c>
      <c r="S13" s="17"/>
    </row>
    <row r="14" spans="1:19" x14ac:dyDescent="0.25">
      <c r="A14" s="7" t="s">
        <v>66</v>
      </c>
      <c r="B14" s="7"/>
      <c r="C14" s="7"/>
      <c r="D14" s="8">
        <f>SUM(D4:D13)</f>
        <v>238320</v>
      </c>
      <c r="E14" s="7"/>
      <c r="F14" s="7"/>
      <c r="G14" s="7"/>
      <c r="H14" s="7"/>
      <c r="I14" s="7"/>
      <c r="J14" s="8">
        <f>SUM(J4:J13)</f>
        <v>0</v>
      </c>
      <c r="K14" s="8">
        <f>SUM(K4:K13)</f>
        <v>0</v>
      </c>
      <c r="L14" s="8">
        <f>SUM(L4:L13)</f>
        <v>0</v>
      </c>
      <c r="M14" s="8">
        <f>SUM(M4:M13)</f>
        <v>13548000</v>
      </c>
      <c r="N14" s="7"/>
      <c r="O14" s="7"/>
      <c r="P14" s="7"/>
      <c r="Q14" s="7"/>
      <c r="R14" s="8" t="e">
        <f>SUM(R4:R13)</f>
        <v>#DIV/0!</v>
      </c>
      <c r="S14" s="7"/>
    </row>
  </sheetData>
  <conditionalFormatting sqref="S4:S13">
    <cfRule type="cellIs" dxfId="1" priority="1" stopIfTrue="1" operator="equal">
      <formula>"Reorder Needed"</formula>
    </cfRule>
    <cfRule type="cellIs" dxfId="0" priority="2" stopIfTrue="1" operator="equal">
      <formula>"Stock Sufficient"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F2" sqref="F2"/>
    </sheetView>
  </sheetViews>
  <sheetFormatPr defaultRowHeight="15" x14ac:dyDescent="0.25"/>
  <cols>
    <col min="1" max="1" width="21.7109375" customWidth="1"/>
    <col min="2" max="2" width="17" customWidth="1"/>
    <col min="3" max="3" width="12" customWidth="1"/>
    <col min="4" max="4" width="23" customWidth="1"/>
    <col min="5" max="5" width="20" customWidth="1"/>
    <col min="6" max="6" width="27.140625" customWidth="1"/>
    <col min="7" max="7" width="22.28515625" customWidth="1"/>
    <col min="8" max="8" width="32.5703125" customWidth="1"/>
  </cols>
  <sheetData>
    <row r="1" spans="1:8" ht="21" x14ac:dyDescent="0.35">
      <c r="A1" s="1" t="s">
        <v>67</v>
      </c>
    </row>
    <row r="2" spans="1:8" x14ac:dyDescent="0.25">
      <c r="A2" s="2" t="s">
        <v>68</v>
      </c>
    </row>
    <row r="3" spans="1:8" x14ac:dyDescent="0.25">
      <c r="A3" s="11" t="s">
        <v>69</v>
      </c>
      <c r="B3" s="11" t="s">
        <v>70</v>
      </c>
      <c r="C3" s="11" t="s">
        <v>28</v>
      </c>
      <c r="D3" s="11" t="s">
        <v>71</v>
      </c>
      <c r="E3" s="11" t="s">
        <v>72</v>
      </c>
      <c r="F3" s="11" t="s">
        <v>73</v>
      </c>
      <c r="G3" s="11" t="s">
        <v>74</v>
      </c>
      <c r="H3" s="11" t="s">
        <v>75</v>
      </c>
    </row>
    <row r="4" spans="1:8" x14ac:dyDescent="0.25">
      <c r="A4" s="18" t="s">
        <v>76</v>
      </c>
      <c r="B4" s="18" t="s">
        <v>77</v>
      </c>
      <c r="C4" s="18" t="s">
        <v>46</v>
      </c>
      <c r="D4" s="18" t="s">
        <v>78</v>
      </c>
      <c r="E4" s="5">
        <v>500</v>
      </c>
      <c r="F4" s="20">
        <f>_xlfn.XLOOKUP(C4, 'Item_Master 5-1'!A:A, 'Item_Master 5-1'!C:C, 0)</f>
        <v>350</v>
      </c>
      <c r="G4" s="5">
        <f t="shared" ref="G4:G18" si="0">E4*F4</f>
        <v>175000</v>
      </c>
      <c r="H4" s="4" t="s">
        <v>79</v>
      </c>
    </row>
    <row r="5" spans="1:8" x14ac:dyDescent="0.25">
      <c r="A5" s="19" t="s">
        <v>80</v>
      </c>
      <c r="B5" s="19" t="s">
        <v>81</v>
      </c>
      <c r="C5" s="19" t="s">
        <v>48</v>
      </c>
      <c r="D5" s="19" t="s">
        <v>78</v>
      </c>
      <c r="E5" s="20">
        <v>2000</v>
      </c>
      <c r="F5" s="20">
        <f>_xlfn.XLOOKUP(C5, 'Item_Master 5-1'!A:A, 'Item_Master 5-1'!C:C, 0)</f>
        <v>25</v>
      </c>
      <c r="G5" s="20">
        <f t="shared" si="0"/>
        <v>50000</v>
      </c>
      <c r="H5" s="21" t="s">
        <v>82</v>
      </c>
    </row>
    <row r="6" spans="1:8" x14ac:dyDescent="0.25">
      <c r="A6" s="18" t="s">
        <v>83</v>
      </c>
      <c r="B6" s="18" t="s">
        <v>84</v>
      </c>
      <c r="C6" s="18" t="s">
        <v>46</v>
      </c>
      <c r="D6" s="18" t="s">
        <v>85</v>
      </c>
      <c r="E6" s="5">
        <v>120</v>
      </c>
      <c r="F6" s="20">
        <f>_xlfn.XLOOKUP(C6, 'Item_Master 5-1'!A:A, 'Item_Master 5-1'!C:C, 0)</f>
        <v>350</v>
      </c>
      <c r="G6" s="5">
        <f t="shared" si="0"/>
        <v>42000</v>
      </c>
      <c r="H6" s="4" t="s">
        <v>86</v>
      </c>
    </row>
    <row r="7" spans="1:8" x14ac:dyDescent="0.25">
      <c r="A7" s="19" t="s">
        <v>87</v>
      </c>
      <c r="B7" s="19" t="s">
        <v>88</v>
      </c>
      <c r="C7" s="19" t="s">
        <v>50</v>
      </c>
      <c r="D7" s="19" t="s">
        <v>78</v>
      </c>
      <c r="E7" s="20">
        <v>300</v>
      </c>
      <c r="F7" s="20">
        <f>_xlfn.XLOOKUP(C7, 'Item_Master 5-1'!A:A, 'Item_Master 5-1'!C:C, 0)</f>
        <v>180</v>
      </c>
      <c r="G7" s="20">
        <f t="shared" si="0"/>
        <v>54000</v>
      </c>
      <c r="H7" s="21" t="s">
        <v>89</v>
      </c>
    </row>
    <row r="8" spans="1:8" x14ac:dyDescent="0.25">
      <c r="A8" s="18" t="s">
        <v>90</v>
      </c>
      <c r="B8" s="18" t="s">
        <v>91</v>
      </c>
      <c r="C8" s="18" t="s">
        <v>46</v>
      </c>
      <c r="D8" s="18" t="s">
        <v>85</v>
      </c>
      <c r="E8" s="5">
        <v>80</v>
      </c>
      <c r="F8" s="20">
        <f>_xlfn.XLOOKUP(C8, 'Item_Master 5-1'!A:A, 'Item_Master 5-1'!C:C, 0)</f>
        <v>350</v>
      </c>
      <c r="G8" s="5">
        <f t="shared" si="0"/>
        <v>28000</v>
      </c>
      <c r="H8" s="4" t="s">
        <v>92</v>
      </c>
    </row>
    <row r="9" spans="1:8" x14ac:dyDescent="0.25">
      <c r="A9" s="19" t="s">
        <v>93</v>
      </c>
      <c r="B9" s="19" t="s">
        <v>94</v>
      </c>
      <c r="C9" s="19" t="s">
        <v>52</v>
      </c>
      <c r="D9" s="19" t="s">
        <v>78</v>
      </c>
      <c r="E9" s="20">
        <v>150</v>
      </c>
      <c r="F9" s="20">
        <f>_xlfn.XLOOKUP(C9, 'Item_Master 5-1'!A:A, 'Item_Master 5-1'!C:C, 0)</f>
        <v>120</v>
      </c>
      <c r="G9" s="20">
        <f t="shared" si="0"/>
        <v>18000</v>
      </c>
      <c r="H9" s="21" t="s">
        <v>95</v>
      </c>
    </row>
    <row r="10" spans="1:8" x14ac:dyDescent="0.25">
      <c r="A10" s="18" t="s">
        <v>96</v>
      </c>
      <c r="B10" s="18" t="s">
        <v>97</v>
      </c>
      <c r="C10" s="18" t="s">
        <v>54</v>
      </c>
      <c r="D10" s="18" t="s">
        <v>78</v>
      </c>
      <c r="E10" s="5">
        <v>50</v>
      </c>
      <c r="F10" s="20">
        <f>_xlfn.XLOOKUP(C10, 'Item_Master 5-1'!A:A, 'Item_Master 5-1'!C:C, 0)</f>
        <v>450</v>
      </c>
      <c r="G10" s="5">
        <f t="shared" si="0"/>
        <v>22500</v>
      </c>
      <c r="H10" s="4" t="s">
        <v>98</v>
      </c>
    </row>
    <row r="11" spans="1:8" x14ac:dyDescent="0.25">
      <c r="A11" s="19" t="s">
        <v>99</v>
      </c>
      <c r="B11" s="19" t="s">
        <v>100</v>
      </c>
      <c r="C11" s="19" t="s">
        <v>56</v>
      </c>
      <c r="D11" s="19" t="s">
        <v>78</v>
      </c>
      <c r="E11" s="20">
        <v>800</v>
      </c>
      <c r="F11" s="20">
        <f>_xlfn.XLOOKUP(C11, 'Item_Master 5-1'!A:A, 'Item_Master 5-1'!C:C, 0)</f>
        <v>85</v>
      </c>
      <c r="G11" s="20">
        <f t="shared" si="0"/>
        <v>68000</v>
      </c>
      <c r="H11" s="21" t="s">
        <v>101</v>
      </c>
    </row>
    <row r="12" spans="1:8" x14ac:dyDescent="0.25">
      <c r="A12" s="18" t="s">
        <v>102</v>
      </c>
      <c r="B12" s="18" t="s">
        <v>103</v>
      </c>
      <c r="C12" s="18" t="s">
        <v>58</v>
      </c>
      <c r="D12" s="18" t="s">
        <v>78</v>
      </c>
      <c r="E12" s="5">
        <v>1200</v>
      </c>
      <c r="F12" s="20">
        <f>_xlfn.XLOOKUP(C12, 'Item_Master 5-1'!A:A, 'Item_Master 5-1'!C:C, 0)</f>
        <v>45</v>
      </c>
      <c r="G12" s="5">
        <f t="shared" si="0"/>
        <v>54000</v>
      </c>
      <c r="H12" s="4" t="s">
        <v>104</v>
      </c>
    </row>
    <row r="13" spans="1:8" x14ac:dyDescent="0.25">
      <c r="A13" s="19" t="s">
        <v>105</v>
      </c>
      <c r="B13" s="19" t="s">
        <v>106</v>
      </c>
      <c r="C13" s="19" t="s">
        <v>48</v>
      </c>
      <c r="D13" s="19" t="s">
        <v>85</v>
      </c>
      <c r="E13" s="20">
        <v>1500</v>
      </c>
      <c r="F13" s="20">
        <f>_xlfn.XLOOKUP(C13, 'Item_Master 5-1'!A:A, 'Item_Master 5-1'!C:C, 0)</f>
        <v>25</v>
      </c>
      <c r="G13" s="20">
        <f t="shared" si="0"/>
        <v>37500</v>
      </c>
      <c r="H13" s="21" t="s">
        <v>107</v>
      </c>
    </row>
    <row r="14" spans="1:8" x14ac:dyDescent="0.25">
      <c r="A14" s="18" t="s">
        <v>108</v>
      </c>
      <c r="B14" s="18" t="s">
        <v>109</v>
      </c>
      <c r="C14" s="18" t="s">
        <v>56</v>
      </c>
      <c r="D14" s="18" t="s">
        <v>85</v>
      </c>
      <c r="E14" s="5">
        <v>600</v>
      </c>
      <c r="F14" s="20">
        <f>_xlfn.XLOOKUP(C14, 'Item_Master 5-1'!A:A, 'Item_Master 5-1'!C:C, 0)</f>
        <v>85</v>
      </c>
      <c r="G14" s="5">
        <f t="shared" si="0"/>
        <v>51000</v>
      </c>
      <c r="H14" s="4" t="s">
        <v>110</v>
      </c>
    </row>
    <row r="15" spans="1:8" x14ac:dyDescent="0.25">
      <c r="A15" s="19" t="s">
        <v>111</v>
      </c>
      <c r="B15" s="19" t="s">
        <v>109</v>
      </c>
      <c r="C15" s="19" t="s">
        <v>60</v>
      </c>
      <c r="D15" s="19" t="s">
        <v>78</v>
      </c>
      <c r="E15" s="20">
        <v>100</v>
      </c>
      <c r="F15" s="20">
        <f>_xlfn.XLOOKUP(C15, 'Item_Master 5-1'!A:A, 'Item_Master 5-1'!C:C, 0)</f>
        <v>650</v>
      </c>
      <c r="G15" s="20">
        <f t="shared" si="0"/>
        <v>65000</v>
      </c>
      <c r="H15" s="21" t="s">
        <v>112</v>
      </c>
    </row>
    <row r="16" spans="1:8" x14ac:dyDescent="0.25">
      <c r="A16" s="18" t="s">
        <v>113</v>
      </c>
      <c r="B16" s="18" t="s">
        <v>109</v>
      </c>
      <c r="C16" s="18" t="s">
        <v>62</v>
      </c>
      <c r="D16" s="18" t="s">
        <v>78</v>
      </c>
      <c r="E16" s="5">
        <v>5000</v>
      </c>
      <c r="F16" s="20">
        <f>_xlfn.XLOOKUP(C16, 'Item_Master 5-1'!A:A, 'Item_Master 5-1'!C:C, 0)</f>
        <v>12</v>
      </c>
      <c r="G16" s="5">
        <f t="shared" si="0"/>
        <v>60000</v>
      </c>
      <c r="H16" s="4" t="s">
        <v>114</v>
      </c>
    </row>
    <row r="17" spans="1:8" x14ac:dyDescent="0.25">
      <c r="A17" s="19" t="s">
        <v>115</v>
      </c>
      <c r="B17" s="19" t="s">
        <v>109</v>
      </c>
      <c r="C17" s="19" t="s">
        <v>64</v>
      </c>
      <c r="D17" s="19" t="s">
        <v>78</v>
      </c>
      <c r="E17" s="20">
        <v>2</v>
      </c>
      <c r="F17" s="20">
        <f>_xlfn.XLOOKUP(C17, 'Item_Master 5-1'!A:A, 'Item_Master 5-1'!C:C, 0)</f>
        <v>8500</v>
      </c>
      <c r="G17" s="20">
        <f t="shared" si="0"/>
        <v>17000</v>
      </c>
      <c r="H17" s="21" t="s">
        <v>116</v>
      </c>
    </row>
    <row r="18" spans="1:8" x14ac:dyDescent="0.25">
      <c r="A18" s="18" t="s">
        <v>117</v>
      </c>
      <c r="B18" s="18" t="s">
        <v>109</v>
      </c>
      <c r="C18" s="18" t="s">
        <v>54</v>
      </c>
      <c r="D18" s="18" t="s">
        <v>85</v>
      </c>
      <c r="E18" s="5">
        <v>35</v>
      </c>
      <c r="F18" s="20">
        <f>_xlfn.XLOOKUP(C18, 'Item_Master 5-1'!A:A, 'Item_Master 5-1'!C:C, 0)</f>
        <v>450</v>
      </c>
      <c r="G18" s="5">
        <f t="shared" si="0"/>
        <v>15750</v>
      </c>
      <c r="H18" s="4" t="s">
        <v>118</v>
      </c>
    </row>
    <row r="19" spans="1:8" x14ac:dyDescent="0.25">
      <c r="A19" s="7" t="s">
        <v>24</v>
      </c>
      <c r="B19" s="7"/>
      <c r="C19" s="7"/>
      <c r="D19" s="7"/>
      <c r="E19" s="8">
        <f>SUM(E4:E18)</f>
        <v>12437</v>
      </c>
      <c r="F19" s="7"/>
      <c r="G19" s="8">
        <f>SUM(G4:G18)</f>
        <v>757750</v>
      </c>
      <c r="H19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tabSelected="1" topLeftCell="C12" zoomScale="85" zoomScaleNormal="85" workbookViewId="0">
      <selection activeCell="K8" sqref="K8"/>
    </sheetView>
  </sheetViews>
  <sheetFormatPr defaultRowHeight="15" x14ac:dyDescent="0.25"/>
  <cols>
    <col min="1" max="1" width="16.28515625" customWidth="1"/>
    <col min="2" max="2" width="28" customWidth="1"/>
    <col min="3" max="4" width="15" customWidth="1"/>
    <col min="5" max="6" width="16" customWidth="1"/>
    <col min="7" max="7" width="15" customWidth="1"/>
    <col min="8" max="8" width="16" customWidth="1"/>
    <col min="9" max="9" width="23" customWidth="1"/>
    <col min="10" max="10" width="13.85546875" customWidth="1"/>
    <col min="11" max="11" width="17.7109375" customWidth="1"/>
    <col min="12" max="12" width="20" customWidth="1"/>
    <col min="13" max="13" width="16.28515625" customWidth="1"/>
    <col min="14" max="14" width="18" customWidth="1"/>
    <col min="15" max="15" width="42" customWidth="1"/>
  </cols>
  <sheetData>
    <row r="1" spans="1:16" ht="14.25" customHeight="1" x14ac:dyDescent="0.35">
      <c r="A1" s="1" t="s">
        <v>119</v>
      </c>
    </row>
    <row r="2" spans="1:16" ht="18.75" customHeight="1" x14ac:dyDescent="0.3">
      <c r="A2" s="2" t="s">
        <v>120</v>
      </c>
      <c r="L2" s="35"/>
      <c r="M2" s="30"/>
    </row>
    <row r="3" spans="1:16" x14ac:dyDescent="0.25">
      <c r="A3" s="11" t="s">
        <v>28</v>
      </c>
      <c r="B3" s="11" t="s">
        <v>121</v>
      </c>
      <c r="C3" s="11" t="s">
        <v>122</v>
      </c>
      <c r="D3" s="11" t="s">
        <v>123</v>
      </c>
      <c r="E3" s="11" t="s">
        <v>124</v>
      </c>
      <c r="F3" s="11" t="s">
        <v>125</v>
      </c>
      <c r="G3" s="11" t="s">
        <v>126</v>
      </c>
      <c r="H3" s="11" t="s">
        <v>127</v>
      </c>
      <c r="I3" s="11" t="s">
        <v>128</v>
      </c>
      <c r="J3" s="11" t="s">
        <v>129</v>
      </c>
      <c r="K3" s="11" t="s">
        <v>130</v>
      </c>
      <c r="L3" s="11" t="s">
        <v>131</v>
      </c>
      <c r="M3" s="11" t="s">
        <v>8</v>
      </c>
      <c r="N3" s="11" t="s">
        <v>132</v>
      </c>
      <c r="O3" s="11" t="s">
        <v>133</v>
      </c>
    </row>
    <row r="4" spans="1:16" x14ac:dyDescent="0.25">
      <c r="A4" s="18" t="s">
        <v>46</v>
      </c>
      <c r="B4" s="4" t="s">
        <v>47</v>
      </c>
      <c r="C4" s="22">
        <v>1000</v>
      </c>
      <c r="D4" s="22">
        <v>1050</v>
      </c>
      <c r="E4" s="22">
        <v>980</v>
      </c>
      <c r="F4" s="22">
        <v>1020</v>
      </c>
      <c r="G4" s="22">
        <v>1010</v>
      </c>
      <c r="H4" s="22">
        <v>990</v>
      </c>
      <c r="I4" s="23">
        <f>AVERAGE(C4:H4)</f>
        <v>1008.3333333333334</v>
      </c>
      <c r="J4" s="23">
        <f>_xlfn.STDEV.S(C4:H4)</f>
        <v>24.832774042918903</v>
      </c>
      <c r="K4" s="24">
        <f t="shared" ref="K4:K13" si="0">J4/I4</f>
        <v>2.4627544505374119E-2</v>
      </c>
      <c r="L4" s="34" t="str">
        <f t="shared" ref="L4:L13" si="1">IF(K4&lt;0.2, "X", IF(K4&lt;=0.5, "Y", "Z"))</f>
        <v>X</v>
      </c>
      <c r="M4" s="33" t="str">
        <f>VLOOKUP(A4,'Item_Master 5-1'!$A$4:$Q$13,17)</f>
        <v>A</v>
      </c>
      <c r="N4" s="17" t="str">
        <f t="shared" ref="N4:N13" si="2">M4&amp;L4</f>
        <v>AX</v>
      </c>
      <c r="O4" s="25" t="str">
        <f>_xlfn.IFS(N4="AX", "เน้นอัตโนมัติ สต็อกต่ำ เติมบ่อย", N4="AY", "คุมเข้ม ปรับ Safety Stock ตามฤดูกาล", N4="AZ", "คุมเข้มพิเศษ ใช้ Make-To-Order", N4="BX", "ควบคุมมาตรฐาน เติมตาม ROP", N4="BY", "ทบทวนสต็อกทุกรอบเดือน", N4="BZ", "ตั้ง Safety Stock กันสำรอง", N4="CX", "สั่งซื้อจำนวนมาก ลดค่าบริหาร", N4="CY", "สั่งซื้อเมื่อถึงจุด ROP", N4="CZ", "พิจารณายกเลิกการจัดเก็บ/Non-stock")</f>
        <v>เน้นอัตโนมัติ สต็อกต่ำ เติมบ่อย</v>
      </c>
    </row>
    <row r="5" spans="1:16" x14ac:dyDescent="0.25">
      <c r="A5" s="18" t="s">
        <v>48</v>
      </c>
      <c r="B5" s="4" t="s">
        <v>49</v>
      </c>
      <c r="C5" s="22">
        <v>3500</v>
      </c>
      <c r="D5" s="22">
        <v>3800</v>
      </c>
      <c r="E5" s="22">
        <v>3200</v>
      </c>
      <c r="F5" s="22">
        <v>4100</v>
      </c>
      <c r="G5" s="22">
        <v>3600</v>
      </c>
      <c r="H5" s="22">
        <v>3700</v>
      </c>
      <c r="I5" s="23">
        <f t="shared" ref="I5:I13" si="3">AVERAGE(C5:H5)</f>
        <v>3650</v>
      </c>
      <c r="J5" s="23">
        <f t="shared" ref="J5:J13" si="4">_xlfn.STDEV.S(C5:H5)</f>
        <v>301.66206257996714</v>
      </c>
      <c r="K5" s="24">
        <f t="shared" si="0"/>
        <v>8.2647140432867708E-2</v>
      </c>
      <c r="L5" s="17" t="str">
        <f t="shared" si="1"/>
        <v>X</v>
      </c>
      <c r="M5" s="17" t="str">
        <f>_xlfn.XLOOKUP(A5, 'Item_Master 5-1'!A:A, 'Item_Master 5-1'!Q:Q)</f>
        <v>A</v>
      </c>
      <c r="N5" s="17" t="str">
        <f t="shared" si="2"/>
        <v>AX</v>
      </c>
      <c r="O5" s="25" t="str">
        <f t="shared" ref="O5:O13" si="5">_xlfn.IFS(N5="AX", "เน้นอัตโนมัติ สต็อกต่ำ เติมบ่อย", N5="AY", "คุมเข้ม ปรับ Safety Stock ตามฤดูกาล", N5="AZ", "คุมเข้มพิเศษ ใช้ Make-To-Order", N5="BX", "ควบคุมมาตรฐาน เติมตาม ROP", N5="BY", "ทบทวนสต็อกทุกรอบเดือน", N5="BZ", "ตั้ง Safety Stock กันสำรอง", N5="CX", "สั่งซื้อจำนวนมาก ลดค่าบริหาร", N5="CY", "สั่งซื้อเมื่อถึงจุด ROP", N5="CZ", "พิจารณายกเลิกการจัดเก็บ/Non-stock")</f>
        <v>เน้นอัตโนมัติ สต็อกต่ำ เติมบ่อย</v>
      </c>
      <c r="P5" t="str">
        <f>VLOOKUP(A5,'Item_Master 5-1'!$A$4:$Q$13,17)</f>
        <v>A</v>
      </c>
    </row>
    <row r="6" spans="1:16" x14ac:dyDescent="0.25">
      <c r="A6" s="18" t="s">
        <v>50</v>
      </c>
      <c r="B6" s="4" t="s">
        <v>51</v>
      </c>
      <c r="C6" s="22">
        <v>500</v>
      </c>
      <c r="D6" s="22">
        <v>800</v>
      </c>
      <c r="E6" s="22">
        <v>200</v>
      </c>
      <c r="F6" s="22">
        <v>950</v>
      </c>
      <c r="G6" s="22">
        <v>400</v>
      </c>
      <c r="H6" s="22">
        <v>600</v>
      </c>
      <c r="I6" s="23">
        <f t="shared" si="3"/>
        <v>575</v>
      </c>
      <c r="J6" s="23">
        <f t="shared" si="4"/>
        <v>271.56951228000537</v>
      </c>
      <c r="K6" s="24">
        <f t="shared" si="0"/>
        <v>0.47229480396522672</v>
      </c>
      <c r="L6" s="17" t="str">
        <f t="shared" si="1"/>
        <v>Y</v>
      </c>
      <c r="M6" s="17" t="str">
        <f>_xlfn.XLOOKUP(A6, 'Item_Master 5-1'!A:A, 'Item_Master 5-1'!Q:Q)</f>
        <v>A</v>
      </c>
      <c r="N6" s="17" t="str">
        <f t="shared" si="2"/>
        <v>AY</v>
      </c>
      <c r="O6" s="25" t="str">
        <f t="shared" si="5"/>
        <v>คุมเข้ม ปรับ Safety Stock ตามฤดูกาล</v>
      </c>
      <c r="P6" t="str">
        <f>VLOOKUP(A6,'Item_Master 5-1'!$A$4:$Q$13,17)</f>
        <v>A</v>
      </c>
    </row>
    <row r="7" spans="1:16" x14ac:dyDescent="0.25">
      <c r="A7" s="18" t="s">
        <v>52</v>
      </c>
      <c r="B7" s="4" t="s">
        <v>53</v>
      </c>
      <c r="C7" s="22">
        <v>200</v>
      </c>
      <c r="D7" s="22">
        <v>180</v>
      </c>
      <c r="E7" s="22">
        <v>220</v>
      </c>
      <c r="F7" s="22">
        <v>190</v>
      </c>
      <c r="G7" s="22">
        <v>210</v>
      </c>
      <c r="H7" s="22">
        <v>200</v>
      </c>
      <c r="I7" s="23">
        <f t="shared" si="3"/>
        <v>200</v>
      </c>
      <c r="J7" s="23">
        <f t="shared" si="4"/>
        <v>14.142135623730951</v>
      </c>
      <c r="K7" s="24">
        <f t="shared" si="0"/>
        <v>7.0710678118654752E-2</v>
      </c>
      <c r="L7" s="17" t="str">
        <f t="shared" si="1"/>
        <v>X</v>
      </c>
      <c r="M7" s="17" t="str">
        <f>_xlfn.XLOOKUP(A7, 'Item_Master 5-1'!A:A, 'Item_Master 5-1'!Q:Q)</f>
        <v>C</v>
      </c>
      <c r="N7" s="17" t="str">
        <f t="shared" si="2"/>
        <v>CX</v>
      </c>
      <c r="O7" s="25" t="str">
        <f t="shared" si="5"/>
        <v>สั่งซื้อจำนวนมาก ลดค่าบริหาร</v>
      </c>
      <c r="P7" t="str">
        <f>VLOOKUP(A7,'Item_Master 5-1'!$A$4:$Q$13,17)</f>
        <v>C</v>
      </c>
    </row>
    <row r="8" spans="1:16" x14ac:dyDescent="0.25">
      <c r="A8" s="18" t="s">
        <v>54</v>
      </c>
      <c r="B8" s="4" t="s">
        <v>55</v>
      </c>
      <c r="C8" s="22">
        <v>80</v>
      </c>
      <c r="D8" s="22">
        <v>20</v>
      </c>
      <c r="E8" s="22">
        <v>150</v>
      </c>
      <c r="F8" s="22">
        <v>10</v>
      </c>
      <c r="G8" s="22">
        <v>110</v>
      </c>
      <c r="H8" s="22">
        <v>30</v>
      </c>
      <c r="I8" s="23">
        <f t="shared" si="3"/>
        <v>66.666666666666671</v>
      </c>
      <c r="J8" s="23">
        <f t="shared" si="4"/>
        <v>56.095157247900346</v>
      </c>
      <c r="K8" s="24">
        <f t="shared" si="0"/>
        <v>0.84142735871850516</v>
      </c>
      <c r="L8" s="17" t="str">
        <f t="shared" si="1"/>
        <v>Z</v>
      </c>
      <c r="M8" s="17" t="str">
        <f>_xlfn.XLOOKUP(A8, 'Item_Master 5-1'!A:A, 'Item_Master 5-1'!Q:Q)</f>
        <v>B</v>
      </c>
      <c r="N8" s="17" t="str">
        <f t="shared" si="2"/>
        <v>BZ</v>
      </c>
      <c r="O8" s="25" t="str">
        <f t="shared" si="5"/>
        <v>ตั้ง Safety Stock กันสำรอง</v>
      </c>
      <c r="P8" t="str">
        <f>VLOOKUP(A8,'Item_Master 5-1'!$A$4:$Q$13,17)</f>
        <v>B</v>
      </c>
    </row>
    <row r="9" spans="1:16" x14ac:dyDescent="0.25">
      <c r="A9" s="18" t="s">
        <v>56</v>
      </c>
      <c r="B9" s="4" t="s">
        <v>57</v>
      </c>
      <c r="C9" s="22">
        <v>1500</v>
      </c>
      <c r="D9" s="22">
        <v>1600</v>
      </c>
      <c r="E9" s="22">
        <v>1450</v>
      </c>
      <c r="F9" s="22">
        <v>1520</v>
      </c>
      <c r="G9" s="22">
        <v>1480</v>
      </c>
      <c r="H9" s="22">
        <v>1510</v>
      </c>
      <c r="I9" s="23">
        <f t="shared" si="3"/>
        <v>1510</v>
      </c>
      <c r="J9" s="23">
        <f t="shared" si="4"/>
        <v>50.596442562694072</v>
      </c>
      <c r="K9" s="24">
        <f t="shared" si="0"/>
        <v>3.3507577856088787E-2</v>
      </c>
      <c r="L9" s="17" t="str">
        <f t="shared" si="1"/>
        <v>X</v>
      </c>
      <c r="M9" s="17" t="str">
        <f>_xlfn.XLOOKUP(A9, 'Item_Master 5-1'!A:A, 'Item_Master 5-1'!Q:Q)</f>
        <v>A</v>
      </c>
      <c r="N9" s="17" t="str">
        <f t="shared" si="2"/>
        <v>AX</v>
      </c>
      <c r="O9" s="25" t="str">
        <f t="shared" si="5"/>
        <v>เน้นอัตโนมัติ สต็อกต่ำ เติมบ่อย</v>
      </c>
      <c r="P9" t="str">
        <f>VLOOKUP(A9,'Item_Master 5-1'!$A$4:$Q$13,17)</f>
        <v>A</v>
      </c>
    </row>
    <row r="10" spans="1:16" x14ac:dyDescent="0.25">
      <c r="A10" s="18" t="s">
        <v>58</v>
      </c>
      <c r="B10" s="4" t="s">
        <v>59</v>
      </c>
      <c r="C10" s="22">
        <v>2600</v>
      </c>
      <c r="D10" s="22">
        <v>2700</v>
      </c>
      <c r="E10" s="22">
        <v>2550</v>
      </c>
      <c r="F10" s="22">
        <v>2800</v>
      </c>
      <c r="G10" s="22">
        <v>2650</v>
      </c>
      <c r="H10" s="22">
        <v>2700</v>
      </c>
      <c r="I10" s="23">
        <f t="shared" si="3"/>
        <v>2666.6666666666665</v>
      </c>
      <c r="J10" s="23">
        <f t="shared" si="4"/>
        <v>87.55950357709132</v>
      </c>
      <c r="K10" s="24">
        <f t="shared" si="0"/>
        <v>3.2834813841409245E-2</v>
      </c>
      <c r="L10" s="17" t="str">
        <f t="shared" si="1"/>
        <v>X</v>
      </c>
      <c r="M10" s="17" t="str">
        <f>_xlfn.XLOOKUP(A10, 'Item_Master 5-1'!A:A, 'Item_Master 5-1'!Q:Q)</f>
        <v>A</v>
      </c>
      <c r="N10" s="17" t="str">
        <f t="shared" si="2"/>
        <v>AX</v>
      </c>
      <c r="O10" s="25" t="str">
        <f t="shared" si="5"/>
        <v>เน้นอัตโนมัติ สต็อกต่ำ เติมบ่อย</v>
      </c>
      <c r="P10" t="str">
        <f>VLOOKUP(A10,'Item_Master 5-1'!$A$4:$Q$13,17)</f>
        <v>A</v>
      </c>
    </row>
    <row r="11" spans="1:16" x14ac:dyDescent="0.25">
      <c r="A11" s="18" t="s">
        <v>60</v>
      </c>
      <c r="B11" s="4" t="s">
        <v>61</v>
      </c>
      <c r="C11" s="22">
        <v>120</v>
      </c>
      <c r="D11" s="22">
        <v>130</v>
      </c>
      <c r="E11" s="22">
        <v>115</v>
      </c>
      <c r="F11" s="22">
        <v>125</v>
      </c>
      <c r="G11" s="22">
        <v>120</v>
      </c>
      <c r="H11" s="22">
        <v>122</v>
      </c>
      <c r="I11" s="23">
        <f t="shared" si="3"/>
        <v>122</v>
      </c>
      <c r="J11" s="23">
        <f t="shared" si="4"/>
        <v>5.0990195135927845</v>
      </c>
      <c r="K11" s="24">
        <f t="shared" si="0"/>
        <v>4.1795241914694956E-2</v>
      </c>
      <c r="L11" s="17" t="str">
        <f t="shared" si="1"/>
        <v>X</v>
      </c>
      <c r="M11" s="17" t="str">
        <f>_xlfn.XLOOKUP(A11, 'Item_Master 5-1'!A:A, 'Item_Master 5-1'!Q:Q)</f>
        <v>B</v>
      </c>
      <c r="N11" s="17" t="str">
        <f t="shared" si="2"/>
        <v>BX</v>
      </c>
      <c r="O11" s="25" t="str">
        <f t="shared" si="5"/>
        <v>ควบคุมมาตรฐาน เติมตาม ROP</v>
      </c>
      <c r="P11" t="str">
        <f>VLOOKUP(A11,'Item_Master 5-1'!$A$4:$Q$13,17)</f>
        <v>B</v>
      </c>
    </row>
    <row r="12" spans="1:16" x14ac:dyDescent="0.25">
      <c r="A12" s="18" t="s">
        <v>62</v>
      </c>
      <c r="B12" s="4" t="s">
        <v>63</v>
      </c>
      <c r="C12" s="22">
        <v>10000</v>
      </c>
      <c r="D12" s="22">
        <v>10200</v>
      </c>
      <c r="E12" s="22">
        <v>9800</v>
      </c>
      <c r="F12" s="22">
        <v>10100</v>
      </c>
      <c r="G12" s="22">
        <v>9900</v>
      </c>
      <c r="H12" s="22">
        <v>10000</v>
      </c>
      <c r="I12" s="23">
        <f t="shared" si="3"/>
        <v>10000</v>
      </c>
      <c r="J12" s="23">
        <f t="shared" si="4"/>
        <v>141.42135623730951</v>
      </c>
      <c r="K12" s="24">
        <f t="shared" si="0"/>
        <v>1.4142135623730951E-2</v>
      </c>
      <c r="L12" s="17" t="str">
        <f t="shared" si="1"/>
        <v>X</v>
      </c>
      <c r="M12" s="17" t="str">
        <f>_xlfn.XLOOKUP(A12, 'Item_Master 5-1'!A:A, 'Item_Master 5-1'!Q:Q)</f>
        <v>A</v>
      </c>
      <c r="N12" s="17" t="str">
        <f t="shared" si="2"/>
        <v>AX</v>
      </c>
      <c r="O12" s="25" t="str">
        <f t="shared" si="5"/>
        <v>เน้นอัตโนมัติ สต็อกต่ำ เติมบ่อย</v>
      </c>
      <c r="P12" t="str">
        <f>VLOOKUP(A12,'Item_Master 5-1'!$A$4:$Q$13,17)</f>
        <v>A</v>
      </c>
    </row>
    <row r="13" spans="1:16" x14ac:dyDescent="0.25">
      <c r="A13" s="18" t="s">
        <v>64</v>
      </c>
      <c r="B13" s="4" t="s">
        <v>65</v>
      </c>
      <c r="C13" s="22">
        <v>10</v>
      </c>
      <c r="D13" s="22">
        <v>2</v>
      </c>
      <c r="E13" s="22">
        <v>18</v>
      </c>
      <c r="F13" s="22">
        <v>1</v>
      </c>
      <c r="G13" s="22">
        <v>15</v>
      </c>
      <c r="H13" s="22">
        <v>4</v>
      </c>
      <c r="I13" s="23">
        <f t="shared" si="3"/>
        <v>8.3333333333333339</v>
      </c>
      <c r="J13" s="23">
        <f t="shared" si="4"/>
        <v>7.1180521680208741</v>
      </c>
      <c r="K13" s="24">
        <f t="shared" si="0"/>
        <v>0.85416626016250485</v>
      </c>
      <c r="L13" s="17" t="str">
        <f t="shared" si="1"/>
        <v>Z</v>
      </c>
      <c r="M13" s="17" t="str">
        <f>_xlfn.XLOOKUP(A13, 'Item_Master 5-1'!A:A, 'Item_Master 5-1'!Q:Q)</f>
        <v>A</v>
      </c>
      <c r="N13" s="17" t="str">
        <f t="shared" si="2"/>
        <v>AZ</v>
      </c>
      <c r="O13" s="25" t="str">
        <f t="shared" si="5"/>
        <v>คุมเข้มพิเศษ ใช้ Make-To-Order</v>
      </c>
      <c r="P13" t="str">
        <f>VLOOKUP(A13,'Item_Master 5-1'!$A$4:$Q$13,17)</f>
        <v>A</v>
      </c>
    </row>
    <row r="16" spans="1:16" x14ac:dyDescent="0.25">
      <c r="A16" t="s">
        <v>178</v>
      </c>
    </row>
    <row r="17" spans="1:1" x14ac:dyDescent="0.25">
      <c r="A17" t="s">
        <v>177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2"/>
  <sheetViews>
    <sheetView topLeftCell="A39" workbookViewId="0"/>
  </sheetViews>
  <sheetFormatPr defaultRowHeight="15" x14ac:dyDescent="0.25"/>
  <cols>
    <col min="1" max="1" width="95" customWidth="1"/>
  </cols>
  <sheetData>
    <row r="1" spans="1:1" ht="21" x14ac:dyDescent="0.35">
      <c r="A1" s="1" t="s">
        <v>134</v>
      </c>
    </row>
    <row r="2" spans="1:1" x14ac:dyDescent="0.25">
      <c r="A2" s="2" t="s">
        <v>135</v>
      </c>
    </row>
    <row r="4" spans="1:1" ht="15.75" x14ac:dyDescent="0.25">
      <c r="A4" s="26" t="s">
        <v>136</v>
      </c>
    </row>
    <row r="5" spans="1:1" x14ac:dyDescent="0.25">
      <c r="A5" s="27" t="s">
        <v>137</v>
      </c>
    </row>
    <row r="6" spans="1:1" x14ac:dyDescent="0.25">
      <c r="A6" s="27" t="s">
        <v>138</v>
      </c>
    </row>
    <row r="7" spans="1:1" x14ac:dyDescent="0.25">
      <c r="A7" s="27" t="s">
        <v>139</v>
      </c>
    </row>
    <row r="8" spans="1:1" x14ac:dyDescent="0.25">
      <c r="A8" s="27" t="s">
        <v>140</v>
      </c>
    </row>
    <row r="9" spans="1:1" x14ac:dyDescent="0.25">
      <c r="A9" s="27" t="s">
        <v>141</v>
      </c>
    </row>
    <row r="10" spans="1:1" x14ac:dyDescent="0.25">
      <c r="A10" s="27" t="s">
        <v>142</v>
      </c>
    </row>
    <row r="11" spans="1:1" x14ac:dyDescent="0.25">
      <c r="A11" s="27" t="s">
        <v>143</v>
      </c>
    </row>
    <row r="12" spans="1:1" x14ac:dyDescent="0.25">
      <c r="A12" s="27" t="s">
        <v>144</v>
      </c>
    </row>
    <row r="13" spans="1:1" x14ac:dyDescent="0.25">
      <c r="A13" s="27" t="s">
        <v>143</v>
      </c>
    </row>
    <row r="14" spans="1:1" x14ac:dyDescent="0.25">
      <c r="A14" s="27" t="s">
        <v>145</v>
      </c>
    </row>
    <row r="15" spans="1:1" x14ac:dyDescent="0.25">
      <c r="A15" s="27" t="s">
        <v>146</v>
      </c>
    </row>
    <row r="16" spans="1:1" x14ac:dyDescent="0.25">
      <c r="A16" s="27" t="s">
        <v>147</v>
      </c>
    </row>
    <row r="17" spans="1:1" x14ac:dyDescent="0.25">
      <c r="A17" s="27" t="s">
        <v>148</v>
      </c>
    </row>
    <row r="18" spans="1:1" x14ac:dyDescent="0.25">
      <c r="A18" s="27" t="s">
        <v>149</v>
      </c>
    </row>
    <row r="19" spans="1:1" x14ac:dyDescent="0.25">
      <c r="A19" s="27" t="s">
        <v>150</v>
      </c>
    </row>
    <row r="20" spans="1:1" x14ac:dyDescent="0.25">
      <c r="A20" s="27" t="s">
        <v>151</v>
      </c>
    </row>
    <row r="21" spans="1:1" x14ac:dyDescent="0.25">
      <c r="A21" s="27" t="s">
        <v>152</v>
      </c>
    </row>
    <row r="22" spans="1:1" x14ac:dyDescent="0.25">
      <c r="A22" s="27" t="s">
        <v>153</v>
      </c>
    </row>
    <row r="23" spans="1:1" x14ac:dyDescent="0.25">
      <c r="A23" s="27" t="s">
        <v>154</v>
      </c>
    </row>
    <row r="24" spans="1:1" x14ac:dyDescent="0.25">
      <c r="A24" s="27" t="s">
        <v>155</v>
      </c>
    </row>
    <row r="25" spans="1:1" x14ac:dyDescent="0.25">
      <c r="A25" s="27" t="s">
        <v>143</v>
      </c>
    </row>
    <row r="26" spans="1:1" x14ac:dyDescent="0.25">
      <c r="A26" s="27" t="s">
        <v>156</v>
      </c>
    </row>
    <row r="27" spans="1:1" x14ac:dyDescent="0.25">
      <c r="A27" s="27" t="s">
        <v>157</v>
      </c>
    </row>
    <row r="28" spans="1:1" x14ac:dyDescent="0.25">
      <c r="A28" s="27" t="s">
        <v>158</v>
      </c>
    </row>
    <row r="29" spans="1:1" x14ac:dyDescent="0.25">
      <c r="A29" s="27" t="s">
        <v>159</v>
      </c>
    </row>
    <row r="30" spans="1:1" x14ac:dyDescent="0.25">
      <c r="A30" s="27" t="s">
        <v>160</v>
      </c>
    </row>
    <row r="31" spans="1:1" x14ac:dyDescent="0.25">
      <c r="A31" s="27" t="s">
        <v>161</v>
      </c>
    </row>
    <row r="34" spans="1:1" ht="15.75" x14ac:dyDescent="0.25">
      <c r="A34" s="26" t="s">
        <v>162</v>
      </c>
    </row>
    <row r="35" spans="1:1" x14ac:dyDescent="0.25">
      <c r="A35" s="27" t="s">
        <v>163</v>
      </c>
    </row>
    <row r="36" spans="1:1" x14ac:dyDescent="0.25">
      <c r="A36" s="27" t="s">
        <v>164</v>
      </c>
    </row>
    <row r="37" spans="1:1" x14ac:dyDescent="0.25">
      <c r="A37" s="27" t="s">
        <v>165</v>
      </c>
    </row>
    <row r="38" spans="1:1" x14ac:dyDescent="0.25">
      <c r="A38" s="27" t="s">
        <v>166</v>
      </c>
    </row>
    <row r="39" spans="1:1" x14ac:dyDescent="0.25">
      <c r="A39" s="27" t="s">
        <v>143</v>
      </c>
    </row>
    <row r="40" spans="1:1" x14ac:dyDescent="0.25">
      <c r="A40" s="27" t="s">
        <v>167</v>
      </c>
    </row>
    <row r="41" spans="1:1" x14ac:dyDescent="0.25">
      <c r="A41" s="27" t="s">
        <v>143</v>
      </c>
    </row>
    <row r="42" spans="1:1" x14ac:dyDescent="0.25">
      <c r="A42" s="27" t="s">
        <v>168</v>
      </c>
    </row>
    <row r="43" spans="1:1" x14ac:dyDescent="0.25">
      <c r="A43" s="27" t="s">
        <v>169</v>
      </c>
    </row>
    <row r="44" spans="1:1" x14ac:dyDescent="0.25">
      <c r="A44" s="27" t="s">
        <v>170</v>
      </c>
    </row>
    <row r="45" spans="1:1" x14ac:dyDescent="0.25">
      <c r="A45" s="27" t="s">
        <v>171</v>
      </c>
    </row>
    <row r="46" spans="1:1" x14ac:dyDescent="0.25">
      <c r="A46" s="27" t="s">
        <v>172</v>
      </c>
    </row>
    <row r="47" spans="1:1" x14ac:dyDescent="0.25">
      <c r="A47" s="27" t="s">
        <v>173</v>
      </c>
    </row>
    <row r="48" spans="1:1" x14ac:dyDescent="0.25">
      <c r="A48" s="27" t="s">
        <v>174</v>
      </c>
    </row>
    <row r="49" spans="1:1" x14ac:dyDescent="0.25">
      <c r="A49" s="27" t="s">
        <v>175</v>
      </c>
    </row>
    <row r="50" spans="1:1" x14ac:dyDescent="0.25">
      <c r="A50" s="27" t="s">
        <v>143</v>
      </c>
    </row>
    <row r="51" spans="1:1" x14ac:dyDescent="0.25">
      <c r="A51" s="27" t="s">
        <v>176</v>
      </c>
    </row>
    <row r="52" spans="1:1" x14ac:dyDescent="0.25">
      <c r="A52" s="27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Summary_Dashboard</vt:lpstr>
      <vt:lpstr>Item_Master 5-1</vt:lpstr>
      <vt:lpstr>Transactions</vt:lpstr>
      <vt:lpstr>ABC_XYZ_Matrix 5-2</vt:lpstr>
      <vt:lpstr>VBA_Macros_Guide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Chalermchon Visayadamrong</cp:lastModifiedBy>
  <dcterms:created xsi:type="dcterms:W3CDTF">2026-09-12T03:46:19Z</dcterms:created>
  <dcterms:modified xsi:type="dcterms:W3CDTF">2026-09-12T17:44:25Z</dcterms:modified>
</cp:coreProperties>
</file>