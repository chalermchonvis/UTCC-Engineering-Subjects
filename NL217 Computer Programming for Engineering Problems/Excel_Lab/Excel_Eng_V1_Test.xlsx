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_Teaching\A_Subjects\NL217\Excel_Lab\"/>
    </mc:Choice>
  </mc:AlternateContent>
  <xr:revisionPtr revIDLastSave="0" documentId="13_ncr:1_{957E2CC0-3115-4E4B-85F9-3B78E5027803}" xr6:coauthVersionLast="47" xr6:coauthVersionMax="47" xr10:uidLastSave="{00000000-0000-0000-0000-000000000000}"/>
  <bookViews>
    <workbookView xWindow="-120" yWindow="-120" windowWidth="19440" windowHeight="11520" activeTab="2" xr2:uid="{BD616CF9-F5F6-4514-B909-836B55401E95}"/>
  </bookViews>
  <sheets>
    <sheet name="Funcs" sheetId="4" r:id="rId1"/>
    <sheet name="Lab 1 Balance" sheetId="12" r:id="rId2"/>
    <sheet name="Lab 2 ( 0 Angle)" sheetId="1" r:id="rId3"/>
    <sheet name="Sheet9" sheetId="9" r:id="rId4"/>
    <sheet name="Sheet8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F8" i="8"/>
  <c r="F7" i="8"/>
  <c r="I4" i="12"/>
  <c r="E4" i="12"/>
  <c r="I5" i="12"/>
  <c r="G7" i="8"/>
  <c r="E5" i="12"/>
  <c r="E3" i="12"/>
  <c r="I3" i="12"/>
  <c r="E6" i="12"/>
  <c r="I6" i="12"/>
  <c r="B11" i="1" l="1"/>
  <c r="B15" i="4"/>
  <c r="D14" i="4"/>
  <c r="B12" i="4"/>
  <c r="D11" i="4"/>
  <c r="D8" i="4"/>
  <c r="J2" i="9"/>
  <c r="K8" i="9"/>
  <c r="F12" i="8"/>
  <c r="C12" i="8"/>
  <c r="B12" i="8"/>
  <c r="C7" i="8"/>
  <c r="E3" i="8"/>
  <c r="C13" i="8" s="1"/>
  <c r="G3" i="8"/>
  <c r="C8" i="8" s="1"/>
  <c r="F13" i="8" s="1"/>
  <c r="G2" i="8"/>
  <c r="E2" i="8"/>
  <c r="B9" i="4"/>
  <c r="D6" i="4"/>
  <c r="B6" i="4"/>
  <c r="K8" i="1"/>
  <c r="H2" i="8"/>
  <c r="D5" i="4"/>
  <c r="G10" i="1"/>
  <c r="B5" i="4"/>
  <c r="E1" i="8"/>
  <c r="G12" i="8"/>
  <c r="A10" i="1"/>
  <c r="B11" i="4"/>
  <c r="D3" i="4"/>
  <c r="C5" i="8"/>
  <c r="B8" i="4"/>
  <c r="B14" i="4"/>
  <c r="G3" i="1"/>
  <c r="A12" i="8"/>
  <c r="B3" i="4"/>
  <c r="B13" i="8" l="1"/>
  <c r="B10" i="1"/>
</calcChain>
</file>

<file path=xl/sharedStrings.xml><?xml version="1.0" encoding="utf-8"?>
<sst xmlns="http://schemas.openxmlformats.org/spreadsheetml/2006/main" count="46" uniqueCount="20">
  <si>
    <t>Sy</t>
  </si>
  <si>
    <t>Uy</t>
  </si>
  <si>
    <t>Vy</t>
  </si>
  <si>
    <t>Ay</t>
  </si>
  <si>
    <t>t</t>
  </si>
  <si>
    <t>Sx</t>
  </si>
  <si>
    <t>Ux</t>
  </si>
  <si>
    <t>Vx</t>
  </si>
  <si>
    <t>Ax</t>
  </si>
  <si>
    <t>มุม</t>
  </si>
  <si>
    <t>U</t>
  </si>
  <si>
    <t>Sx = Ux * t</t>
  </si>
  <si>
    <t>x</t>
  </si>
  <si>
    <t>y</t>
  </si>
  <si>
    <t>DL</t>
  </si>
  <si>
    <t>ML</t>
  </si>
  <si>
    <t>DR</t>
  </si>
  <si>
    <t>MR</t>
  </si>
  <si>
    <t>TL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</si>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</sst>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>
    <font>
      <sz val="11"/>
      <color theme="1"/>
      <name val="Calibri"/>
      <family val="2"/>
      <charset val="22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color rgb="FFC00000"/>
      <name val="Calibri"/>
      <family val="2"/>
      <charset val="222"/>
      <scheme val="minor"/>
    </font>
    <font>
      <sz val="11"/>
      <color rgb="FF0070C0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6"/>
      <name val="Calibri"/>
      <family val="2"/>
      <charset val="22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4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7E6A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2" fillId="0" borderId="0" xfId="0" applyNumberFormat="1" applyFont="1"/>
    <xf numFmtId="2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5" borderId="1" xfId="0" applyFill="1" applyBorder="1" applyAlignment="1">
      <alignment horizontal="center"/>
    </xf>
    <xf numFmtId="0" fontId="7" fillId="0" borderId="0" xfId="0" applyFont="1"/>
    <xf numFmtId="49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11" fillId="0" borderId="0" xfId="0" applyFont="1"/>
    <xf numFmtId="0" fontId="0" fillId="3" borderId="0" xfId="0" applyFill="1"/>
    <xf numFmtId="0" fontId="12" fillId="7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7E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565546</xdr:colOff>
      <xdr:row>7</xdr:row>
      <xdr:rowOff>28635</xdr:rowOff>
    </xdr:from>
    <xdr:to>
      <xdr:col>8</xdr:col>
      <xdr:colOff>543906</xdr:colOff>
      <xdr:row>19</xdr:row>
      <xdr:rowOff>53002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90BF32-7829-7ED6-B663-8BF7D1B1F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546" y="1749088"/>
          <a:ext cx="5389751" cy="2310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18469</xdr:colOff>
      <xdr:row>4</xdr:row>
      <xdr:rowOff>4762</xdr:rowOff>
    </xdr:from>
    <xdr:to>
      <xdr:col>4</xdr:col>
      <xdr:colOff>28543</xdr:colOff>
      <xdr:row>5</xdr:row>
      <xdr:rowOff>142894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28D6E-C58C-122F-5F03-B39DF7F03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069" y="862012"/>
          <a:ext cx="1285421" cy="319107"/>
        </a:xfrm>
        <a:prstGeom prst="rect">
          <a:avLst/>
        </a:prstGeom>
      </xdr:spPr>
    </xdr:pic>
    <xdr:clientData/>
  </xdr:twoCellAnchor>
  <xdr:twoCellAnchor editAs="oneCell">
    <xdr:from>
      <xdr:col>0</xdr:col>
      <xdr:colOff>595149</xdr:colOff>
      <xdr:row>11</xdr:row>
      <xdr:rowOff>57149</xdr:rowOff>
    </xdr:from>
    <xdr:to>
      <xdr:col>3</xdr:col>
      <xdr:colOff>210716</xdr:colOff>
      <xdr:row>12</xdr:row>
      <xdr:rowOff>172226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ECE5A-0A37-4C5E-AAE8-D690497B0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149" y="2228849"/>
          <a:ext cx="1205908" cy="296052"/>
        </a:xfrm>
        <a:prstGeom prst="rect">
          <a:avLst/>
        </a:prstGeom>
      </xdr:spPr>
    </xdr:pic>
    <xdr:clientData/>
  </xdr:twoCellAnchor>
  <xdr:twoCellAnchor editAs="oneCell">
    <xdr:from>
      <xdr:col>6</xdr:col>
      <xdr:colOff>500063</xdr:colOff>
      <xdr:row>3</xdr:row>
      <xdr:rowOff>39699</xdr:rowOff>
    </xdr:from>
    <xdr:to>
      <xdr:col>11</xdr:col>
      <xdr:colOff>459889</xdr:colOff>
      <xdr:row>12</xdr:row>
      <xdr:rowOff>32657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5EC4B3-4585-B311-3B8E-957772ACB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4949" y="729128"/>
          <a:ext cx="3007826" cy="1709272"/>
        </a:xfrm>
        <a:prstGeom prst="rect">
          <a:avLst/>
        </a:prstGeom>
      </xdr:spPr>
    </xdr:pic>
    <xdr:clientData/>
  </xdr:twoCellAnchor>
  <xdr:oneCellAnchor>
    <xdr:from>
      <xdr:col>5</xdr:col>
      <xdr:colOff>47625</xdr:colOff>
      <xdr:row>0</xdr:row>
      <xdr:rowOff>0</xdr:rowOff>
    </xdr:from>
    <xdr:ext cx="1219436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2E1ABC-9E06-BE1C-4F3D-AD0EFE981915}"/>
                </a:ext>
              </a:extLst>
            </xdr:cNvPr>
            <xdr:cNvSpPr txBox="1"/>
          </xdr:nvSpPr>
          <xdr:spPr>
            <a:xfrm>
              <a:off x="2395538" y="280987"/>
              <a:ext cx="121943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ea typeface="Cambria Math" panose="02040503050406030204" pitchFamily="18" charset="0"/>
                </a:rPr>
                <a:t>t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ad>
                    <m:radPr>
                      <m:degHide m:val="on"/>
                      <m:ctrlPr>
                        <a:rPr lang="en-US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𝑆𝑦</m:t>
                      </m:r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/(0.5 ∗ </m:t>
                      </m:r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𝐴𝑦</m:t>
                      </m:r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2E1ABC-9E06-BE1C-4F3D-AD0EFE981915}"/>
                </a:ext>
              </a:extLst>
            </xdr:cNvPr>
            <xdr:cNvSpPr txBox="1"/>
          </xdr:nvSpPr>
          <xdr:spPr>
            <a:xfrm>
              <a:off x="2395538" y="280987"/>
              <a:ext cx="121943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ea typeface="Cambria Math" panose="02040503050406030204" pitchFamily="18" charset="0"/>
                </a:rPr>
                <a:t>t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𝑆𝑦/(0.5 ∗ 𝐴𝑦))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88319</xdr:colOff>
      <xdr:row>4</xdr:row>
      <xdr:rowOff>163512</xdr:rowOff>
    </xdr:from>
    <xdr:to>
      <xdr:col>4</xdr:col>
      <xdr:colOff>98393</xdr:colOff>
      <xdr:row>6</xdr:row>
      <xdr:rowOff>117494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0B18A-15DC-4029-A25E-F97C91826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869" y="1033462"/>
          <a:ext cx="1330874" cy="322282"/>
        </a:xfrm>
        <a:prstGeom prst="rect">
          <a:avLst/>
        </a:prstGeom>
      </xdr:spPr>
    </xdr:pic>
    <xdr:clientData/>
  </xdr:twoCellAnchor>
  <xdr:twoCellAnchor editAs="oneCell">
    <xdr:from>
      <xdr:col>0</xdr:col>
      <xdr:colOff>595149</xdr:colOff>
      <xdr:row>11</xdr:row>
      <xdr:rowOff>57149</xdr:rowOff>
    </xdr:from>
    <xdr:to>
      <xdr:col>3</xdr:col>
      <xdr:colOff>296441</xdr:colOff>
      <xdr:row>12</xdr:row>
      <xdr:rowOff>172226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A303C2-E2B5-4351-8D08-D89A8F776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799" y="2266949"/>
          <a:ext cx="1237992" cy="299227"/>
        </a:xfrm>
        <a:prstGeom prst="rect">
          <a:avLst/>
        </a:prstGeom>
      </xdr:spPr>
    </xdr:pic>
    <xdr:clientData/>
  </xdr:twoCellAnchor>
  <xdr:twoCellAnchor editAs="oneCell">
    <xdr:from>
      <xdr:col>6</xdr:col>
      <xdr:colOff>598035</xdr:colOff>
      <xdr:row>7</xdr:row>
      <xdr:rowOff>143206</xdr:rowOff>
    </xdr:from>
    <xdr:to>
      <xdr:col>9</xdr:col>
      <xdr:colOff>326572</xdr:colOff>
      <xdr:row>12</xdr:row>
      <xdr:rowOff>82209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C7E880-F411-4915-B4D2-F3D5B3827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2921" y="1572863"/>
          <a:ext cx="1557337" cy="915089"/>
        </a:xfrm>
        <a:prstGeom prst="rect">
          <a:avLst/>
        </a:prstGeom>
      </xdr:spPr>
    </xdr:pic>
    <xdr:clientData/>
  </xdr:twoCellAnchor>
  <xdr:oneCellAnchor>
    <xdr:from>
      <xdr:col>5</xdr:col>
      <xdr:colOff>47625</xdr:colOff>
      <xdr:row>0</xdr:row>
      <xdr:rowOff>0</xdr:rowOff>
    </xdr:from>
    <xdr:ext cx="1219436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64BEF38-CE9A-44B3-99E6-9041EAB5CBCA}"/>
                </a:ext>
              </a:extLst>
            </xdr:cNvPr>
            <xdr:cNvSpPr txBox="1"/>
          </xdr:nvSpPr>
          <xdr:spPr>
            <a:xfrm>
              <a:off x="2359025" y="0"/>
              <a:ext cx="121943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ea typeface="Cambria Math" panose="02040503050406030204" pitchFamily="18" charset="0"/>
                </a:rPr>
                <a:t>t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ad>
                    <m:radPr>
                      <m:degHide m:val="on"/>
                      <m:ctrlPr>
                        <a:rPr lang="en-US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𝑆𝑦</m:t>
                      </m:r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/(0.5 ∗ </m:t>
                      </m:r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𝐴𝑦</m:t>
                      </m:r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64BEF38-CE9A-44B3-99E6-9041EAB5CBCA}"/>
                </a:ext>
              </a:extLst>
            </xdr:cNvPr>
            <xdr:cNvSpPr txBox="1"/>
          </xdr:nvSpPr>
          <xdr:spPr>
            <a:xfrm>
              <a:off x="2359025" y="0"/>
              <a:ext cx="121943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ea typeface="Cambria Math" panose="02040503050406030204" pitchFamily="18" charset="0"/>
                </a:rPr>
                <a:t>t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𝑆𝑦/(0.5 ∗ 𝐴𝑦))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7</xdr:col>
      <xdr:colOff>243115</xdr:colOff>
      <xdr:row>0</xdr:row>
      <xdr:rowOff>0</xdr:rowOff>
    </xdr:from>
    <xdr:to>
      <xdr:col>11</xdr:col>
      <xdr:colOff>219082</xdr:colOff>
      <xdr:row>7</xdr:row>
      <xdr:rowOff>88312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A3B127-4A92-0865-DE3A-2E5753684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1" y="0"/>
          <a:ext cx="2414367" cy="15179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117630</xdr:colOff>
      <xdr:row>7</xdr:row>
      <xdr:rowOff>20051</xdr:rowOff>
    </xdr:from>
    <xdr:to>
      <xdr:col>7</xdr:col>
      <xdr:colOff>505326</xdr:colOff>
      <xdr:row>8</xdr:row>
      <xdr:rowOff>92516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4A35F6-7AAD-435A-B86B-2EACB6B05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9405" y="1363076"/>
          <a:ext cx="997296" cy="262965"/>
        </a:xfrm>
        <a:prstGeom prst="rect">
          <a:avLst/>
        </a:prstGeom>
      </xdr:spPr>
    </xdr:pic>
    <xdr:clientData/>
  </xdr:twoCellAnchor>
  <xdr:twoCellAnchor editAs="oneCell">
    <xdr:from>
      <xdr:col>6</xdr:col>
      <xdr:colOff>94485</xdr:colOff>
      <xdr:row>12</xdr:row>
      <xdr:rowOff>11348</xdr:rowOff>
    </xdr:from>
    <xdr:to>
      <xdr:col>7</xdr:col>
      <xdr:colOff>517358</xdr:colOff>
      <xdr:row>13</xdr:row>
      <xdr:rowOff>78982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325150-771E-4BD6-A4B1-5BE3CF3F9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6260" y="2278298"/>
          <a:ext cx="1032473" cy="258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E7B0-8B8B-4D89-9E7C-ED7772AE62BD}">
  <dimension ref="A1:D15"/>
  <sheetViews>
    <sheetView zoomScale="310" zoomScaleNormal="310" workbookViewId="0">
      <selection activeCell="C15" sqref="C15"/>
    </sheetView>
  </sheetViews>
  <sheetFormatPr defaultRowHeight="15"/>
  <sheetData>
    <row r="1" spans="1:4">
      <c r="A1" t="s">
        <v>12</v>
      </c>
      <c r="B1" t="s">
        <v>13</v>
      </c>
    </row>
    <row r="2" spans="1:4">
      <c r="A2">
        <v>2.9130128278395317</v>
      </c>
      <c r="B2" s="23">
        <f>3*A2^2-12*A2+9.5</f>
        <v>7.7727139861849537E-4</v>
      </c>
    </row>
    <row r="3" spans="1:4">
      <c r="B3" s="17" t="str">
        <f ca="1">_xlfn.FORMULATEXT(B5)</f>
        <v>=FORMULATEXT(B6)</v>
      </c>
      <c r="D3" s="18" t="str">
        <f ca="1">_xlfn.FORMULATEXT(D5)</f>
        <v>=FORMULATEXT(D6)</v>
      </c>
    </row>
    <row r="4" spans="1:4">
      <c r="B4" s="17"/>
      <c r="D4" s="18"/>
    </row>
    <row r="5" spans="1:4">
      <c r="B5" s="17" t="str">
        <f ca="1">_xlfn.FORMULATEXT(B6)</f>
        <v>=SIN(30)</v>
      </c>
      <c r="D5" s="18" t="str">
        <f ca="1">_xlfn.FORMULATEXT(D6)</f>
        <v>=SIN(RADIANS(30))</v>
      </c>
    </row>
    <row r="6" spans="1:4">
      <c r="B6" s="23">
        <f>SIN(30)</f>
        <v>-0.98803162409286183</v>
      </c>
      <c r="D6" s="23">
        <f>SIN(RADIANS(30))</f>
        <v>0.49999999999999994</v>
      </c>
    </row>
    <row r="8" spans="1:4">
      <c r="B8" s="17" t="str">
        <f ca="1">_xlfn.FORMULATEXT(B9)</f>
        <v>=ROUND(SIN(30),2)</v>
      </c>
      <c r="D8">
        <f>ROUND(0.2567,2)</f>
        <v>0.26</v>
      </c>
    </row>
    <row r="9" spans="1:4">
      <c r="B9">
        <f>ROUND(SIN(30),2)</f>
        <v>-0.99</v>
      </c>
    </row>
    <row r="11" spans="1:4">
      <c r="B11" s="17" t="str">
        <f ca="1">_xlfn.FORMULATEXT(B12)</f>
        <v>=ROUND(0.6789,2)</v>
      </c>
      <c r="D11">
        <f>ROUND(0.2567,2)</f>
        <v>0.26</v>
      </c>
    </row>
    <row r="12" spans="1:4">
      <c r="B12" s="23">
        <f>ROUND(0.6789,2)</f>
        <v>0.68</v>
      </c>
    </row>
    <row r="14" spans="1:4">
      <c r="B14" s="17" t="str">
        <f ca="1">_xlfn.FORMULATEXT(B15)</f>
        <v>=SQRT(4)</v>
      </c>
      <c r="D14">
        <f>ROUND(0.2567,2)</f>
        <v>0.26</v>
      </c>
    </row>
    <row r="15" spans="1:4">
      <c r="B15" s="23">
        <f>SQRT(4)</f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C176-0470-4B06-A4F8-F33B21AAE97A}">
  <dimension ref="B2:I7"/>
  <sheetViews>
    <sheetView zoomScale="160" zoomScaleNormal="160" workbookViewId="0">
      <selection activeCell="D6" sqref="D6"/>
    </sheetView>
  </sheetViews>
  <sheetFormatPr defaultRowHeight="15"/>
  <cols>
    <col min="1" max="1" width="9.140625" customWidth="1"/>
    <col min="5" max="5" width="17.42578125" customWidth="1"/>
  </cols>
  <sheetData>
    <row r="2" spans="2:9" ht="21">
      <c r="B2" s="24" t="s">
        <v>14</v>
      </c>
      <c r="C2" s="24" t="s">
        <v>15</v>
      </c>
      <c r="D2" s="25" t="s">
        <v>18</v>
      </c>
      <c r="E2" s="32"/>
      <c r="F2" s="26" t="s">
        <v>16</v>
      </c>
      <c r="G2" s="26" t="s">
        <v>17</v>
      </c>
      <c r="H2" s="27" t="s">
        <v>19</v>
      </c>
      <c r="I2" s="22"/>
    </row>
    <row r="3" spans="2:9" ht="21">
      <c r="B3" s="24">
        <v>2</v>
      </c>
      <c r="C3" s="24">
        <v>15</v>
      </c>
      <c r="D3" s="27"/>
      <c r="E3" s="33" t="e">
        <f ca="1">_xlfn.FORMULATEXT(D3)</f>
        <v>#N/A</v>
      </c>
      <c r="F3" s="26">
        <v>4</v>
      </c>
      <c r="G3" s="26">
        <v>5</v>
      </c>
      <c r="H3" s="27"/>
      <c r="I3" s="33" t="e">
        <f ca="1">_xlfn.FORMULATEXT(H3)</f>
        <v>#N/A</v>
      </c>
    </row>
    <row r="4" spans="2:9" ht="21">
      <c r="B4" s="24">
        <v>4</v>
      </c>
      <c r="C4" s="24">
        <v>5</v>
      </c>
      <c r="D4" s="27"/>
      <c r="E4" s="33" t="e">
        <f t="shared" ref="E4:E6" ca="1" si="0">_xlfn.FORMULATEXT(D4)</f>
        <v>#N/A</v>
      </c>
      <c r="F4" s="26">
        <v>6</v>
      </c>
      <c r="G4" s="26">
        <v>10</v>
      </c>
      <c r="H4" s="27"/>
      <c r="I4" s="33" t="e">
        <f t="shared" ref="I4:I5" ca="1" si="1">_xlfn.FORMULATEXT(H4)</f>
        <v>#N/A</v>
      </c>
    </row>
    <row r="5" spans="2:9" ht="21">
      <c r="B5" s="28">
        <v>0</v>
      </c>
      <c r="C5" s="29">
        <v>5</v>
      </c>
      <c r="D5" s="27"/>
      <c r="E5" s="33" t="e">
        <f t="shared" ca="1" si="0"/>
        <v>#N/A</v>
      </c>
      <c r="F5" s="30">
        <v>0</v>
      </c>
      <c r="G5" s="31">
        <v>0</v>
      </c>
      <c r="H5" s="27"/>
      <c r="I5" s="33" t="e">
        <f t="shared" ca="1" si="1"/>
        <v>#N/A</v>
      </c>
    </row>
    <row r="6" spans="2:9" ht="21">
      <c r="B6" s="24"/>
      <c r="C6" s="24"/>
      <c r="D6" s="28"/>
      <c r="E6" s="33" t="e">
        <f t="shared" ca="1" si="0"/>
        <v>#N/A</v>
      </c>
      <c r="F6" s="26"/>
      <c r="G6" s="26"/>
      <c r="H6" s="28"/>
      <c r="I6" s="33" t="e">
        <f t="shared" ref="I6" ca="1" si="2">_xlfn.FORMULATEXT(H6)</f>
        <v>#N/A</v>
      </c>
    </row>
    <row r="7" spans="2:9">
      <c r="H7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1360-8219-418D-929B-0DBEA9E8BB37}">
  <dimension ref="A1:K11"/>
  <sheetViews>
    <sheetView tabSelected="1" zoomScale="160" zoomScaleNormal="160" workbookViewId="0">
      <selection activeCell="F6" sqref="F6"/>
    </sheetView>
  </sheetViews>
  <sheetFormatPr defaultRowHeight="15"/>
  <cols>
    <col min="1" max="1" width="10.140625" customWidth="1"/>
    <col min="2" max="3" width="6.7109375" customWidth="1"/>
    <col min="4" max="4" width="5.42578125" customWidth="1"/>
    <col min="5" max="5" width="5.7109375" customWidth="1"/>
    <col min="6" max="6" width="7" customWidth="1"/>
  </cols>
  <sheetData>
    <row r="1" spans="1:11" ht="18.75">
      <c r="B1" s="3"/>
      <c r="I1">
        <v>0.23400000000000001</v>
      </c>
    </row>
    <row r="2" spans="1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11" ht="21">
      <c r="B3" s="1">
        <v>1.5</v>
      </c>
      <c r="C3" s="1">
        <v>0</v>
      </c>
      <c r="D3" s="1"/>
      <c r="E3" s="1">
        <v>9.8000000000000007</v>
      </c>
      <c r="F3" s="4"/>
      <c r="G3" s="13" t="e">
        <f ca="1">_xlfn.FORMULATEXT(F3)</f>
        <v>#N/A</v>
      </c>
    </row>
    <row r="4" spans="1:11">
      <c r="B4" s="1">
        <v>10</v>
      </c>
      <c r="C4" s="1">
        <v>0</v>
      </c>
      <c r="D4" s="1"/>
      <c r="E4" s="1">
        <v>9.8000000000000007</v>
      </c>
      <c r="F4" s="4"/>
      <c r="G4" s="10"/>
    </row>
    <row r="5" spans="1:11">
      <c r="G5" s="10"/>
    </row>
    <row r="6" spans="1:11">
      <c r="G6" s="10"/>
    </row>
    <row r="7" spans="1:11">
      <c r="G7" s="10"/>
    </row>
    <row r="8" spans="1:11" ht="18.75">
      <c r="B8" s="14" t="s">
        <v>11</v>
      </c>
      <c r="F8" s="3"/>
      <c r="G8" s="10"/>
      <c r="K8">
        <f>SIN(L429)</f>
        <v>0</v>
      </c>
    </row>
    <row r="9" spans="1:11">
      <c r="B9" s="2" t="s">
        <v>5</v>
      </c>
      <c r="C9" s="2" t="s">
        <v>6</v>
      </c>
      <c r="D9" s="2" t="s">
        <v>7</v>
      </c>
      <c r="E9" s="2" t="s">
        <v>8</v>
      </c>
      <c r="F9" s="2" t="s">
        <v>4</v>
      </c>
      <c r="G9" s="10"/>
    </row>
    <row r="10" spans="1:11">
      <c r="A10" t="str">
        <f ca="1">_xlfn.FORMULATEXT(B10)</f>
        <v>=C10*F10</v>
      </c>
      <c r="B10" s="6">
        <f>C10*F10</f>
        <v>0</v>
      </c>
      <c r="C10" s="1">
        <v>2</v>
      </c>
      <c r="D10" s="1"/>
      <c r="E10" s="1">
        <v>0</v>
      </c>
      <c r="F10" s="5"/>
      <c r="G10" s="11" t="e">
        <f ca="1">_xlfn.FORMULATEXT(F10)</f>
        <v>#N/A</v>
      </c>
    </row>
    <row r="11" spans="1:11">
      <c r="B11" s="6">
        <f>C11*F11</f>
        <v>0</v>
      </c>
      <c r="C11" s="1">
        <v>15</v>
      </c>
      <c r="D11" s="1"/>
      <c r="E11" s="1">
        <v>0</v>
      </c>
      <c r="F11" s="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238F-E450-46B8-A419-5E6CF6B55A28}">
  <dimension ref="B1:K11"/>
  <sheetViews>
    <sheetView zoomScale="175" zoomScaleNormal="175" workbookViewId="0">
      <selection activeCell="G5" sqref="G5"/>
    </sheetView>
  </sheetViews>
  <sheetFormatPr defaultRowHeight="15"/>
  <cols>
    <col min="1" max="1" width="8.42578125" customWidth="1"/>
    <col min="2" max="3" width="6.7109375" customWidth="1"/>
    <col min="4" max="4" width="5.42578125" customWidth="1"/>
    <col min="5" max="5" width="5.7109375" customWidth="1"/>
    <col min="6" max="6" width="7" customWidth="1"/>
  </cols>
  <sheetData>
    <row r="1" spans="2:11" ht="18.75">
      <c r="B1" s="3"/>
    </row>
    <row r="2" spans="2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J2">
        <f>SQRT(4)</f>
        <v>2</v>
      </c>
    </row>
    <row r="3" spans="2:11" ht="21">
      <c r="B3" s="1">
        <v>1.5</v>
      </c>
      <c r="C3" s="1">
        <v>0</v>
      </c>
      <c r="D3" s="1"/>
      <c r="E3" s="1">
        <v>9.8000000000000007</v>
      </c>
      <c r="F3" s="4"/>
      <c r="G3" s="13"/>
    </row>
    <row r="4" spans="2:11">
      <c r="B4" s="7"/>
      <c r="C4" s="7"/>
      <c r="D4" s="7"/>
      <c r="E4" s="7"/>
      <c r="F4" s="19"/>
      <c r="G4" s="10"/>
    </row>
    <row r="5" spans="2:11">
      <c r="G5" s="10"/>
    </row>
    <row r="6" spans="2:11">
      <c r="G6" s="10"/>
    </row>
    <row r="7" spans="2:11">
      <c r="G7" s="10"/>
    </row>
    <row r="8" spans="2:11" ht="18.75">
      <c r="B8" s="14" t="s">
        <v>11</v>
      </c>
      <c r="F8" s="3"/>
      <c r="G8" s="10"/>
      <c r="K8">
        <f>SIN(L429)</f>
        <v>0</v>
      </c>
    </row>
    <row r="9" spans="2:11">
      <c r="B9" s="2" t="s">
        <v>5</v>
      </c>
      <c r="C9" s="2" t="s">
        <v>6</v>
      </c>
      <c r="D9" s="2" t="s">
        <v>7</v>
      </c>
      <c r="E9" s="2" t="s">
        <v>8</v>
      </c>
      <c r="F9" s="2" t="s">
        <v>4</v>
      </c>
      <c r="G9" s="10"/>
    </row>
    <row r="10" spans="2:11">
      <c r="B10" s="6"/>
      <c r="C10" s="1">
        <v>2</v>
      </c>
      <c r="D10" s="1"/>
      <c r="E10" s="1">
        <v>0</v>
      </c>
      <c r="F10" s="5"/>
      <c r="G10" s="11"/>
    </row>
    <row r="11" spans="2:11">
      <c r="B11" s="21"/>
      <c r="C11" s="7"/>
      <c r="D11" s="7"/>
      <c r="E11" s="7"/>
      <c r="F11" s="2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ABE4-95FB-4891-8962-BAB1A3BF2EAC}">
  <dimension ref="A1:H13"/>
  <sheetViews>
    <sheetView zoomScale="145" zoomScaleNormal="145" workbookViewId="0">
      <selection activeCell="J9" sqref="J9"/>
    </sheetView>
  </sheetViews>
  <sheetFormatPr defaultRowHeight="15"/>
  <cols>
    <col min="2" max="2" width="9.28515625" customWidth="1"/>
    <col min="3" max="3" width="5.5703125" customWidth="1"/>
    <col min="4" max="4" width="5.85546875" customWidth="1"/>
    <col min="5" max="5" width="7.140625" customWidth="1"/>
  </cols>
  <sheetData>
    <row r="1" spans="1:8">
      <c r="B1" s="12" t="s">
        <v>9</v>
      </c>
      <c r="C1" s="12" t="s">
        <v>10</v>
      </c>
      <c r="E1" s="16" t="str">
        <f ca="1">_xlfn.FORMULATEXT(E2)</f>
        <v>=ROUND(C2*COS(RADIANS(B2)),1)</v>
      </c>
    </row>
    <row r="2" spans="1:8">
      <c r="B2" s="1">
        <v>30</v>
      </c>
      <c r="C2" s="1">
        <v>10</v>
      </c>
      <c r="D2" s="12" t="s">
        <v>6</v>
      </c>
      <c r="E2" s="9">
        <f>ROUND(C2*COS(RADIANS(B2)),1)</f>
        <v>8.6999999999999993</v>
      </c>
      <c r="F2" s="12" t="s">
        <v>1</v>
      </c>
      <c r="G2" s="8">
        <f>ROUND(C2*SIN(RADIANS(B2)),2)</f>
        <v>5</v>
      </c>
      <c r="H2" s="16" t="str">
        <f ca="1">_xlfn.FORMULATEXT(G2)</f>
        <v>=ROUND(C2*SIN(RADIANS(B2)),2)</v>
      </c>
    </row>
    <row r="3" spans="1:8">
      <c r="B3" s="1">
        <v>35</v>
      </c>
      <c r="C3" s="1">
        <v>13</v>
      </c>
      <c r="D3" s="12" t="s">
        <v>6</v>
      </c>
      <c r="E3" s="9">
        <f>ROUND(C3*COS(RADIANS(B3)),1)</f>
        <v>10.6</v>
      </c>
      <c r="F3" s="12" t="s">
        <v>1</v>
      </c>
      <c r="G3" s="8">
        <f>ROUND(C3*SIN(RADIANS(B3)),2)</f>
        <v>7.46</v>
      </c>
    </row>
    <row r="5" spans="1:8">
      <c r="C5" s="15" t="str">
        <f ca="1">_xlfn.FORMULATEXT(C7)</f>
        <v>=G2</v>
      </c>
    </row>
    <row r="6" spans="1:8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</row>
    <row r="7" spans="1:8">
      <c r="B7" s="1">
        <v>0</v>
      </c>
      <c r="C7" s="8">
        <f>G2</f>
        <v>5</v>
      </c>
      <c r="D7" s="1"/>
      <c r="E7" s="1">
        <v>9.8000000000000007</v>
      </c>
      <c r="F7" s="4">
        <f xml:space="preserve">  ROUND(C7/(0.5*E7),2)</f>
        <v>1.02</v>
      </c>
      <c r="G7" s="15" t="str">
        <f ca="1">_xlfn.FORMULATEXT(F7)</f>
        <v>=  ROUND(C7/(0.5*E7),2)</v>
      </c>
    </row>
    <row r="8" spans="1:8">
      <c r="B8" s="1">
        <v>0</v>
      </c>
      <c r="C8" s="8">
        <f>G3</f>
        <v>7.46</v>
      </c>
      <c r="D8" s="1"/>
      <c r="E8" s="1">
        <v>9.8000000000000007</v>
      </c>
      <c r="F8" s="4">
        <f xml:space="preserve">  ROUND(C8/(0.5*E8),2)</f>
        <v>1.52</v>
      </c>
    </row>
    <row r="11" spans="1:8">
      <c r="B11" s="2" t="s">
        <v>5</v>
      </c>
      <c r="C11" s="2" t="s">
        <v>6</v>
      </c>
      <c r="D11" s="2" t="s">
        <v>7</v>
      </c>
      <c r="E11" s="2" t="s">
        <v>8</v>
      </c>
      <c r="F11" s="2" t="s">
        <v>4</v>
      </c>
    </row>
    <row r="12" spans="1:8">
      <c r="A12" t="str">
        <f ca="1">_xlfn.FORMULATEXT(B12)</f>
        <v>=C12*F12</v>
      </c>
      <c r="B12" s="6">
        <f>C12*F12</f>
        <v>8.8739999999999988</v>
      </c>
      <c r="C12" s="9">
        <f>E2</f>
        <v>8.6999999999999993</v>
      </c>
      <c r="D12" s="1"/>
      <c r="E12" s="1">
        <v>0</v>
      </c>
      <c r="F12" s="5">
        <f>F7</f>
        <v>1.02</v>
      </c>
      <c r="G12" s="15" t="str">
        <f ca="1">_xlfn.FORMULATEXT(F12)</f>
        <v>=F7</v>
      </c>
    </row>
    <row r="13" spans="1:8">
      <c r="B13" s="6">
        <f>C13*F13</f>
        <v>16.111999999999998</v>
      </c>
      <c r="C13" s="9">
        <f>E3</f>
        <v>10.6</v>
      </c>
      <c r="D13" s="1"/>
      <c r="E13" s="1">
        <v>1</v>
      </c>
      <c r="F13" s="5">
        <f>F8</f>
        <v>1.52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Funcs</vt:lpstr>
      <vt:lpstr>Lab 1 Balance</vt:lpstr>
      <vt:lpstr>Lab 2 ( 0 Angle)</vt:lpstr>
      <vt:lpstr>Sheet9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Chalermchon2020</dc:creator>
  <cp:lastModifiedBy>Chalermchon Visayadamrong</cp:lastModifiedBy>
  <dcterms:created xsi:type="dcterms:W3CDTF">2022-09-24T15:39:54Z</dcterms:created>
  <dcterms:modified xsi:type="dcterms:W3CDTF">2025-08-24T06:42:31Z</dcterms:modified>
</cp:coreProperties>
</file>