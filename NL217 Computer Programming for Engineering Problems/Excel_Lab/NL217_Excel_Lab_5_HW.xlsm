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NL217 โปรแกรมคอมพิวเตอร์ในการแก้ปัญหาทางวิศวกรรม\Excel_Lab\"/>
    </mc:Choice>
  </mc:AlternateContent>
  <xr:revisionPtr revIDLastSave="0" documentId="13_ncr:1_{25755DF9-2C3A-4E66-A8A4-7D05FCF9BA9F}" xr6:coauthVersionLast="47" xr6:coauthVersionMax="47" xr10:uidLastSave="{00000000-0000-0000-0000-000000000000}"/>
  <bookViews>
    <workbookView xWindow="-120" yWindow="-120" windowWidth="19440" windowHeight="11520" firstSheet="2" activeTab="6" xr2:uid="{00000000-000D-0000-FFFF-FFFF00000000}"/>
  </bookViews>
  <sheets>
    <sheet name="Lab5_1" sheetId="16" r:id="rId1"/>
    <sheet name="Lab5_2" sheetId="15" r:id="rId2"/>
    <sheet name="Lab5_3" sheetId="17" r:id="rId3"/>
    <sheet name="Lab5_4" sheetId="18" r:id="rId4"/>
    <sheet name="Lab5_5" sheetId="19" r:id="rId5"/>
    <sheet name="Lab6_1" sheetId="20" r:id="rId6"/>
    <sheet name="Lab6_2" sheetId="21" r:id="rId7"/>
  </sheets>
  <externalReferences>
    <externalReference r:id="rId8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21" l="1"/>
  <c r="L2" i="21"/>
  <c r="K5" i="21"/>
  <c r="K4" i="21"/>
  <c r="K3" i="21"/>
  <c r="M2" i="21"/>
  <c r="K7" i="21"/>
  <c r="K2" i="21"/>
  <c r="K9" i="21"/>
  <c r="C23" i="21"/>
  <c r="K8" i="21"/>
  <c r="D23" i="21"/>
  <c r="K6" i="21"/>
  <c r="F23" i="21" l="1"/>
  <c r="E23" i="21"/>
  <c r="C21" i="15"/>
</calcChain>
</file>

<file path=xl/sharedStrings.xml><?xml version="1.0" encoding="utf-8"?>
<sst xmlns="http://schemas.openxmlformats.org/spreadsheetml/2006/main" count="154" uniqueCount="91">
  <si>
    <t>Jan, 2018</t>
  </si>
  <si>
    <t>Feb, 2018</t>
  </si>
  <si>
    <t>Mar, 2018</t>
  </si>
  <si>
    <t>Apr, 2018</t>
  </si>
  <si>
    <t>May, 2018</t>
  </si>
  <si>
    <t>Jun, 2018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</si>
  <si>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</si>
  <si>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</si>
  <si>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</si>
  <si>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</si>
  <si>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</si>
  <si>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</si>
  <si>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</si>
  <si>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</si>
  <si>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</si>
  <si>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</si>
  <si>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$3,100</t>
  </si>
  <si>
    <t>$3,700</t>
  </si>
  <si>
    <t>$3,500</t>
  </si>
  <si>
    <t>$3,400</t>
  </si>
  <si>
    <t>$3,350</t>
  </si>
  <si>
    <t>$4,400</t>
  </si>
  <si>
    <t>$4,500</t>
  </si>
  <si>
    <t>$4,000</t>
  </si>
  <si>
    <t>$4,200</t>
  </si>
  <si>
    <t>$3,800</t>
  </si>
  <si>
    <t xml:space="preserve"> </t>
  </si>
  <si>
    <t>Month</t>
  </si>
  <si>
    <t>Resellers</t>
  </si>
  <si>
    <t>Advertising</t>
  </si>
  <si>
    <t>Sales</t>
  </si>
  <si>
    <t>https://www.ablebits.com/office-addins-blog/excel-trend-function/</t>
  </si>
  <si>
    <t>Trend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</si>
  <si>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</si>
  <si>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</si>
  <si>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</si>
  <si>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</si>
  <si>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</si>
  <si>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</si>
  <si>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</si>
  <si>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</si>
  <si>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</si>
  <si>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Temp. F</t>
  </si>
  <si>
    <t>Average</t>
  </si>
  <si>
    <t>Moving</t>
  </si>
  <si>
    <t>Oct</t>
  </si>
  <si>
    <t>Nov</t>
  </si>
  <si>
    <t>Dec</t>
  </si>
  <si>
    <t>$200</t>
  </si>
  <si>
    <t>$320</t>
  </si>
  <si>
    <t>$180</t>
  </si>
  <si>
    <t>$450</t>
  </si>
  <si>
    <t>$360</t>
  </si>
  <si>
    <t>$400</t>
  </si>
  <si>
    <t>$240</t>
  </si>
  <si>
    <t>$280</t>
  </si>
  <si>
    <t>https://www.ablebits.com/office-addins-blog/moving-average-excel/</t>
  </si>
  <si>
    <t>$31</t>
  </si>
  <si>
    <t>Average for last 3 months</t>
  </si>
  <si>
    <t>Calculating moving average</t>
  </si>
  <si>
    <t>Average for last 3 months:</t>
  </si>
  <si>
    <t>https://www.ablebits.com/office-addins-blog/excel-forecast-function-formula-examples/#FORECAST.ETS-function</t>
  </si>
  <si>
    <t>Date
(x-values)</t>
  </si>
  <si>
    <t>Visitors
(y-values)</t>
  </si>
  <si>
    <t>FORECAST</t>
  </si>
  <si>
    <t>FORECAST.LINEAR</t>
  </si>
  <si>
    <t>Dates
(timeline)</t>
  </si>
  <si>
    <t>Visitors
(values)</t>
  </si>
  <si>
    <t>FORECAST.ETS</t>
  </si>
  <si>
    <t>Confidence
interval</t>
  </si>
  <si>
    <t>Lower bound</t>
  </si>
  <si>
    <t>Upper bound</t>
  </si>
  <si>
    <t>Statistic</t>
  </si>
  <si>
    <t>Value</t>
  </si>
  <si>
    <t>Seasonality</t>
  </si>
  <si>
    <t>Alpha</t>
  </si>
  <si>
    <t>Beta</t>
  </si>
  <si>
    <t>Gamma</t>
  </si>
  <si>
    <t>MASE</t>
  </si>
  <si>
    <t>SMAPE</t>
  </si>
  <si>
    <t>MAE</t>
  </si>
  <si>
    <t>RMSE</t>
  </si>
  <si>
    <t>Step size</t>
  </si>
  <si>
    <t>A</t>
  </si>
  <si>
    <t>B</t>
  </si>
  <si>
    <t>C</t>
  </si>
  <si>
    <t>D</t>
  </si>
  <si>
    <t>=FORECAST.ETS(A23,$B$2:$B$22,$A$2:$A$22)</t>
  </si>
  <si>
    <t>=FORECAST.ETS.CONFINT(A23,$B$2:$B$22,$A$2:$A$22)</t>
  </si>
  <si>
    <t>=C23-D23</t>
  </si>
  <si>
    <t>=C23+D23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</si>
</sst>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\-mmm\,\ ddd"/>
  </numFmts>
  <fonts count="8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u/>
      <sz val="10"/>
      <color indexed="12"/>
      <name val="Arial"/>
      <family val="2"/>
    </font>
    <font>
      <b/>
      <sz val="11"/>
      <color theme="1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C00000"/>
      <name val="Calibri"/>
      <family val="2"/>
      <scheme val="minor"/>
    </font>
    <font>
      <sz val="11"/>
      <color rgb="FFC00000"/>
      <name val="Calibri"/>
      <family val="2"/>
      <charset val="22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3" fontId="0" fillId="0" borderId="0" xfId="0" applyNumberFormat="1"/>
    <xf numFmtId="0" fontId="4" fillId="2" borderId="0" xfId="1" applyFont="1" applyFill="1" applyAlignment="1">
      <alignment horizontal="center" vertical="center" wrapText="1"/>
    </xf>
    <xf numFmtId="0" fontId="4" fillId="2" borderId="0" xfId="1" applyFont="1" applyFill="1" applyAlignment="1">
      <alignment horizontal="center" vertical="center"/>
    </xf>
    <xf numFmtId="16" fontId="1" fillId="0" borderId="0" xfId="1" applyNumberFormat="1" applyAlignment="1">
      <alignment horizontal="center"/>
    </xf>
    <xf numFmtId="3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168" fontId="0" fillId="0" borderId="0" xfId="0" applyNumberFormat="1" applyAlignment="1">
      <alignment horizontal="left"/>
    </xf>
    <xf numFmtId="2" fontId="0" fillId="0" borderId="0" xfId="0" applyNumberFormat="1"/>
    <xf numFmtId="2" fontId="2" fillId="0" borderId="0" xfId="0" applyNumberFormat="1" applyFont="1" applyAlignment="1">
      <alignment vertical="center"/>
    </xf>
    <xf numFmtId="3" fontId="6" fillId="0" borderId="0" xfId="0" applyNumberFormat="1" applyFont="1"/>
    <xf numFmtId="2" fontId="6" fillId="0" borderId="0" xfId="0" applyNumberFormat="1" applyFont="1"/>
    <xf numFmtId="2" fontId="6" fillId="0" borderId="0" xfId="0" applyNumberFormat="1" applyFont="1" applyAlignment="1">
      <alignment vertical="center"/>
    </xf>
    <xf numFmtId="0" fontId="7" fillId="0" borderId="0" xfId="0" applyFont="1"/>
    <xf numFmtId="3" fontId="7" fillId="0" borderId="0" xfId="0" applyNumberFormat="1" applyFont="1"/>
    <xf numFmtId="0" fontId="7" fillId="0" borderId="0" xfId="0" applyFont="1" applyAlignment="1">
      <alignment horizontal="center"/>
    </xf>
  </cellXfs>
  <cellStyles count="5">
    <cellStyle name="Hyperlink 2" xfId="2" xr:uid="{2FEE3978-3488-4F08-8D20-EE05541D238B}"/>
    <cellStyle name="Hyperlink 3" xfId="4" xr:uid="{0FB658F3-6F27-4A0E-8477-61F8B76E0F67}"/>
    <cellStyle name="Normal" xfId="0" builtinId="0"/>
    <cellStyle name="Normal 2" xfId="1" xr:uid="{1739BFFD-6DE7-4858-AD6B-79ABF0D7BAC8}"/>
    <cellStyle name="Normal 3" xfId="3" xr:uid="{7B2FC90F-CEFB-4D38-A2B2-5963E3FE58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Web-site traffic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Visitors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'[1]ETS forecast'!$A$2:$A$29</c:f>
              <c:numCache>
                <c:formatCode>d\-mmm\,\ ddd</c:formatCode>
                <c:ptCount val="28"/>
                <c:pt idx="0">
                  <c:v>43514</c:v>
                </c:pt>
                <c:pt idx="1">
                  <c:v>43515</c:v>
                </c:pt>
                <c:pt idx="2">
                  <c:v>43516</c:v>
                </c:pt>
                <c:pt idx="3">
                  <c:v>43517</c:v>
                </c:pt>
                <c:pt idx="4">
                  <c:v>43518</c:v>
                </c:pt>
                <c:pt idx="5">
                  <c:v>43519</c:v>
                </c:pt>
                <c:pt idx="6">
                  <c:v>43520</c:v>
                </c:pt>
                <c:pt idx="7">
                  <c:v>43521</c:v>
                </c:pt>
                <c:pt idx="8">
                  <c:v>43522</c:v>
                </c:pt>
                <c:pt idx="9">
                  <c:v>43523</c:v>
                </c:pt>
                <c:pt idx="10">
                  <c:v>43524</c:v>
                </c:pt>
                <c:pt idx="11">
                  <c:v>43525</c:v>
                </c:pt>
                <c:pt idx="12">
                  <c:v>43526</c:v>
                </c:pt>
                <c:pt idx="13">
                  <c:v>43527</c:v>
                </c:pt>
                <c:pt idx="14">
                  <c:v>43528</c:v>
                </c:pt>
                <c:pt idx="15">
                  <c:v>43529</c:v>
                </c:pt>
                <c:pt idx="16">
                  <c:v>43530</c:v>
                </c:pt>
                <c:pt idx="17">
                  <c:v>43531</c:v>
                </c:pt>
                <c:pt idx="18">
                  <c:v>43532</c:v>
                </c:pt>
                <c:pt idx="19">
                  <c:v>43533</c:v>
                </c:pt>
                <c:pt idx="20">
                  <c:v>43534</c:v>
                </c:pt>
                <c:pt idx="21">
                  <c:v>43535</c:v>
                </c:pt>
                <c:pt idx="22">
                  <c:v>43536</c:v>
                </c:pt>
                <c:pt idx="23">
                  <c:v>43537</c:v>
                </c:pt>
                <c:pt idx="24">
                  <c:v>43538</c:v>
                </c:pt>
                <c:pt idx="25">
                  <c:v>43539</c:v>
                </c:pt>
                <c:pt idx="26">
                  <c:v>43540</c:v>
                </c:pt>
                <c:pt idx="27">
                  <c:v>43541</c:v>
                </c:pt>
              </c:numCache>
            </c:numRef>
          </c:cat>
          <c:val>
            <c:numRef>
              <c:f>'[1]ETS forecast'!$B$2:$B$29</c:f>
              <c:numCache>
                <c:formatCode>#,##0</c:formatCode>
                <c:ptCount val="28"/>
                <c:pt idx="0">
                  <c:v>118488</c:v>
                </c:pt>
                <c:pt idx="1">
                  <c:v>140502</c:v>
                </c:pt>
                <c:pt idx="2">
                  <c:v>141652</c:v>
                </c:pt>
                <c:pt idx="3">
                  <c:v>144538</c:v>
                </c:pt>
                <c:pt idx="4">
                  <c:v>122812</c:v>
                </c:pt>
                <c:pt idx="5">
                  <c:v>42171</c:v>
                </c:pt>
                <c:pt idx="6">
                  <c:v>40437</c:v>
                </c:pt>
                <c:pt idx="7">
                  <c:v>133362</c:v>
                </c:pt>
                <c:pt idx="8">
                  <c:v>147998</c:v>
                </c:pt>
                <c:pt idx="9">
                  <c:v>148258</c:v>
                </c:pt>
                <c:pt idx="10">
                  <c:v>147562</c:v>
                </c:pt>
                <c:pt idx="11">
                  <c:v>134396</c:v>
                </c:pt>
                <c:pt idx="12">
                  <c:v>47386</c:v>
                </c:pt>
                <c:pt idx="13">
                  <c:v>44434</c:v>
                </c:pt>
                <c:pt idx="14">
                  <c:v>141173</c:v>
                </c:pt>
                <c:pt idx="15">
                  <c:v>152409</c:v>
                </c:pt>
                <c:pt idx="16">
                  <c:v>157249</c:v>
                </c:pt>
                <c:pt idx="17">
                  <c:v>154527</c:v>
                </c:pt>
                <c:pt idx="18">
                  <c:v>130636</c:v>
                </c:pt>
                <c:pt idx="19">
                  <c:v>45896</c:v>
                </c:pt>
                <c:pt idx="20">
                  <c:v>43801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F2-4C88-9BBE-79E436D002C3}"/>
            </c:ext>
          </c:extLst>
        </c:ser>
        <c:ser>
          <c:idx val="1"/>
          <c:order val="1"/>
          <c:tx>
            <c:v>Forecast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'[1]ETS forecast'!$A$2:$A$29</c:f>
              <c:numCache>
                <c:formatCode>d\-mmm\,\ ddd</c:formatCode>
                <c:ptCount val="28"/>
                <c:pt idx="0">
                  <c:v>43514</c:v>
                </c:pt>
                <c:pt idx="1">
                  <c:v>43515</c:v>
                </c:pt>
                <c:pt idx="2">
                  <c:v>43516</c:v>
                </c:pt>
                <c:pt idx="3">
                  <c:v>43517</c:v>
                </c:pt>
                <c:pt idx="4">
                  <c:v>43518</c:v>
                </c:pt>
                <c:pt idx="5">
                  <c:v>43519</c:v>
                </c:pt>
                <c:pt idx="6">
                  <c:v>43520</c:v>
                </c:pt>
                <c:pt idx="7">
                  <c:v>43521</c:v>
                </c:pt>
                <c:pt idx="8">
                  <c:v>43522</c:v>
                </c:pt>
                <c:pt idx="9">
                  <c:v>43523</c:v>
                </c:pt>
                <c:pt idx="10">
                  <c:v>43524</c:v>
                </c:pt>
                <c:pt idx="11">
                  <c:v>43525</c:v>
                </c:pt>
                <c:pt idx="12">
                  <c:v>43526</c:v>
                </c:pt>
                <c:pt idx="13">
                  <c:v>43527</c:v>
                </c:pt>
                <c:pt idx="14">
                  <c:v>43528</c:v>
                </c:pt>
                <c:pt idx="15">
                  <c:v>43529</c:v>
                </c:pt>
                <c:pt idx="16">
                  <c:v>43530</c:v>
                </c:pt>
                <c:pt idx="17">
                  <c:v>43531</c:v>
                </c:pt>
                <c:pt idx="18">
                  <c:v>43532</c:v>
                </c:pt>
                <c:pt idx="19">
                  <c:v>43533</c:v>
                </c:pt>
                <c:pt idx="20">
                  <c:v>43534</c:v>
                </c:pt>
                <c:pt idx="21">
                  <c:v>43535</c:v>
                </c:pt>
                <c:pt idx="22">
                  <c:v>43536</c:v>
                </c:pt>
                <c:pt idx="23">
                  <c:v>43537</c:v>
                </c:pt>
                <c:pt idx="24">
                  <c:v>43538</c:v>
                </c:pt>
                <c:pt idx="25">
                  <c:v>43539</c:v>
                </c:pt>
                <c:pt idx="26">
                  <c:v>43540</c:v>
                </c:pt>
                <c:pt idx="27">
                  <c:v>43541</c:v>
                </c:pt>
              </c:numCache>
            </c:numRef>
          </c:cat>
          <c:val>
            <c:numRef>
              <c:f>'[1]ETS forecast'!$C$2:$C$29</c:f>
              <c:numCache>
                <c:formatCode>General</c:formatCode>
                <c:ptCount val="28"/>
                <c:pt idx="20" formatCode="#,##0">
                  <c:v>43801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F2-4C88-9BBE-79E436D002C3}"/>
            </c:ext>
          </c:extLst>
        </c:ser>
        <c:ser>
          <c:idx val="2"/>
          <c:order val="2"/>
          <c:tx>
            <c:strRef>
              <c:f>'[1]ETS forecast'!$E$1</c:f>
              <c:strCache>
                <c:ptCount val="1"/>
                <c:pt idx="0">
                  <c:v>Lower bound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'[1]ETS forecast'!$A$2:$A$29</c:f>
              <c:numCache>
                <c:formatCode>d\-mmm\,\ ddd</c:formatCode>
                <c:ptCount val="28"/>
                <c:pt idx="0">
                  <c:v>43514</c:v>
                </c:pt>
                <c:pt idx="1">
                  <c:v>43515</c:v>
                </c:pt>
                <c:pt idx="2">
                  <c:v>43516</c:v>
                </c:pt>
                <c:pt idx="3">
                  <c:v>43517</c:v>
                </c:pt>
                <c:pt idx="4">
                  <c:v>43518</c:v>
                </c:pt>
                <c:pt idx="5">
                  <c:v>43519</c:v>
                </c:pt>
                <c:pt idx="6">
                  <c:v>43520</c:v>
                </c:pt>
                <c:pt idx="7">
                  <c:v>43521</c:v>
                </c:pt>
                <c:pt idx="8">
                  <c:v>43522</c:v>
                </c:pt>
                <c:pt idx="9">
                  <c:v>43523</c:v>
                </c:pt>
                <c:pt idx="10">
                  <c:v>43524</c:v>
                </c:pt>
                <c:pt idx="11">
                  <c:v>43525</c:v>
                </c:pt>
                <c:pt idx="12">
                  <c:v>43526</c:v>
                </c:pt>
                <c:pt idx="13">
                  <c:v>43527</c:v>
                </c:pt>
                <c:pt idx="14">
                  <c:v>43528</c:v>
                </c:pt>
                <c:pt idx="15">
                  <c:v>43529</c:v>
                </c:pt>
                <c:pt idx="16">
                  <c:v>43530</c:v>
                </c:pt>
                <c:pt idx="17">
                  <c:v>43531</c:v>
                </c:pt>
                <c:pt idx="18">
                  <c:v>43532</c:v>
                </c:pt>
                <c:pt idx="19">
                  <c:v>43533</c:v>
                </c:pt>
                <c:pt idx="20">
                  <c:v>43534</c:v>
                </c:pt>
                <c:pt idx="21">
                  <c:v>43535</c:v>
                </c:pt>
                <c:pt idx="22">
                  <c:v>43536</c:v>
                </c:pt>
                <c:pt idx="23">
                  <c:v>43537</c:v>
                </c:pt>
                <c:pt idx="24">
                  <c:v>43538</c:v>
                </c:pt>
                <c:pt idx="25">
                  <c:v>43539</c:v>
                </c:pt>
                <c:pt idx="26">
                  <c:v>43540</c:v>
                </c:pt>
                <c:pt idx="27">
                  <c:v>43541</c:v>
                </c:pt>
              </c:numCache>
            </c:numRef>
          </c:cat>
          <c:val>
            <c:numRef>
              <c:f>'[1]ETS forecast'!$E$2:$E$29</c:f>
              <c:numCache>
                <c:formatCode>General</c:formatCode>
                <c:ptCount val="28"/>
                <c:pt idx="20" formatCode="#,##0">
                  <c:v>43801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F2-4C88-9BBE-79E436D002C3}"/>
            </c:ext>
          </c:extLst>
        </c:ser>
        <c:ser>
          <c:idx val="3"/>
          <c:order val="3"/>
          <c:tx>
            <c:strRef>
              <c:f>'[1]ETS forecast'!$F$1</c:f>
              <c:strCache>
                <c:ptCount val="1"/>
                <c:pt idx="0">
                  <c:v>Upper bound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'[1]ETS forecast'!$A$2:$A$29</c:f>
              <c:numCache>
                <c:formatCode>d\-mmm\,\ ddd</c:formatCode>
                <c:ptCount val="28"/>
                <c:pt idx="0">
                  <c:v>43514</c:v>
                </c:pt>
                <c:pt idx="1">
                  <c:v>43515</c:v>
                </c:pt>
                <c:pt idx="2">
                  <c:v>43516</c:v>
                </c:pt>
                <c:pt idx="3">
                  <c:v>43517</c:v>
                </c:pt>
                <c:pt idx="4">
                  <c:v>43518</c:v>
                </c:pt>
                <c:pt idx="5">
                  <c:v>43519</c:v>
                </c:pt>
                <c:pt idx="6">
                  <c:v>43520</c:v>
                </c:pt>
                <c:pt idx="7">
                  <c:v>43521</c:v>
                </c:pt>
                <c:pt idx="8">
                  <c:v>43522</c:v>
                </c:pt>
                <c:pt idx="9">
                  <c:v>43523</c:v>
                </c:pt>
                <c:pt idx="10">
                  <c:v>43524</c:v>
                </c:pt>
                <c:pt idx="11">
                  <c:v>43525</c:v>
                </c:pt>
                <c:pt idx="12">
                  <c:v>43526</c:v>
                </c:pt>
                <c:pt idx="13">
                  <c:v>43527</c:v>
                </c:pt>
                <c:pt idx="14">
                  <c:v>43528</c:v>
                </c:pt>
                <c:pt idx="15">
                  <c:v>43529</c:v>
                </c:pt>
                <c:pt idx="16">
                  <c:v>43530</c:v>
                </c:pt>
                <c:pt idx="17">
                  <c:v>43531</c:v>
                </c:pt>
                <c:pt idx="18">
                  <c:v>43532</c:v>
                </c:pt>
                <c:pt idx="19">
                  <c:v>43533</c:v>
                </c:pt>
                <c:pt idx="20">
                  <c:v>43534</c:v>
                </c:pt>
                <c:pt idx="21">
                  <c:v>43535</c:v>
                </c:pt>
                <c:pt idx="22">
                  <c:v>43536</c:v>
                </c:pt>
                <c:pt idx="23">
                  <c:v>43537</c:v>
                </c:pt>
                <c:pt idx="24">
                  <c:v>43538</c:v>
                </c:pt>
                <c:pt idx="25">
                  <c:v>43539</c:v>
                </c:pt>
                <c:pt idx="26">
                  <c:v>43540</c:v>
                </c:pt>
                <c:pt idx="27">
                  <c:v>43541</c:v>
                </c:pt>
              </c:numCache>
            </c:numRef>
          </c:cat>
          <c:val>
            <c:numRef>
              <c:f>'[1]ETS forecast'!$F$2:$F$29</c:f>
              <c:numCache>
                <c:formatCode>General</c:formatCode>
                <c:ptCount val="28"/>
                <c:pt idx="20" formatCode="#,##0">
                  <c:v>43801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F2-4C88-9BBE-79E436D00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8588056"/>
        <c:axId val="928813288"/>
      </c:lineChart>
      <c:dateAx>
        <c:axId val="928588056"/>
        <c:scaling>
          <c:orientation val="minMax"/>
        </c:scaling>
        <c:delete val="0"/>
        <c:axPos val="b"/>
        <c:numFmt formatCode="d\-mmm\,\ d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813288"/>
        <c:crosses val="autoZero"/>
        <c:auto val="1"/>
        <c:lblOffset val="100"/>
        <c:baseTimeUnit val="days"/>
      </c:dateAx>
      <c:valAx>
        <c:axId val="9288132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588056"/>
        <c:crosses val="autoZero"/>
        <c:crossBetween val="between"/>
        <c:majorUnit val="4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ablebits.com/office-addins-blog/excel-trend-function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2</xdr:row>
      <xdr:rowOff>9525</xdr:rowOff>
    </xdr:from>
    <xdr:to>
      <xdr:col>16</xdr:col>
      <xdr:colOff>257175</xdr:colOff>
      <xdr:row>22</xdr:row>
      <xdr:rowOff>171450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1EEB72-012D-ECCE-6B14-980CBA4ED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9150" y="390525"/>
          <a:ext cx="5629275" cy="397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1</xdr:row>
      <xdr:rowOff>104775</xdr:rowOff>
    </xdr:from>
    <xdr:to>
      <xdr:col>18</xdr:col>
      <xdr:colOff>85725</xdr:colOff>
      <xdr:row>33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A679698-50B5-2881-A8FC-E5BBAD70E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5575" y="295275"/>
          <a:ext cx="6038850" cy="609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152400</xdr:colOff>
      <xdr:row>3</xdr:row>
      <xdr:rowOff>19050</xdr:rowOff>
    </xdr:from>
    <xdr:to>
      <xdr:col>12</xdr:col>
      <xdr:colOff>133350</xdr:colOff>
      <xdr:row>16</xdr:row>
      <xdr:rowOff>47625</xdr:rowOff>
    </xdr:to>
    <xdr:pic>
      <xdr:nvPicPr>
        <xdr:cNvPr id="2" name="Picture 1" descr="Excel formulas to calculate moving average for 3 months">
          <a:extLst>
            <a:ext uri="{FF2B5EF4-FFF2-40B4-BE49-F238E27FC236}">
              <a16:creationId xmlns:a16="http://schemas.microsoft.com/office/drawing/2014/main" id="{23148DBB-8E2E-29E6-150E-0D628400E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2425" y="590550"/>
          <a:ext cx="3638550" cy="2505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8</xdr:row>
      <xdr:rowOff>57150</xdr:rowOff>
    </xdr:from>
    <xdr:to>
      <xdr:col>13</xdr:col>
      <xdr:colOff>228600</xdr:colOff>
      <xdr:row>24</xdr:row>
      <xdr:rowOff>66675</xdr:rowOff>
    </xdr:to>
    <xdr:pic>
      <xdr:nvPicPr>
        <xdr:cNvPr id="2" name="Picture 1" descr="Finding moving average for a the last N days / weeks / months/ years">
          <a:extLst>
            <a:ext uri="{FF2B5EF4-FFF2-40B4-BE49-F238E27FC236}">
              <a16:creationId xmlns:a16="http://schemas.microsoft.com/office/drawing/2014/main" id="{82D83E79-BC65-4BF1-A895-473671798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1581150"/>
          <a:ext cx="4591050" cy="3057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542925</xdr:colOff>
      <xdr:row>5</xdr:row>
      <xdr:rowOff>9525</xdr:rowOff>
    </xdr:from>
    <xdr:to>
      <xdr:col>16</xdr:col>
      <xdr:colOff>258071</xdr:colOff>
      <xdr:row>8</xdr:row>
      <xdr:rowOff>123921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1FE434B-FD4A-4F8C-8327-5F0E5A24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90925" y="962025"/>
          <a:ext cx="6420746" cy="6858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9</xdr:row>
      <xdr:rowOff>133350</xdr:rowOff>
    </xdr:from>
    <xdr:to>
      <xdr:col>14</xdr:col>
      <xdr:colOff>47625</xdr:colOff>
      <xdr:row>16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D828F3-FB00-4FC3-1368-A4688D48FD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1847850"/>
          <a:ext cx="568642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419100</xdr:colOff>
      <xdr:row>5</xdr:row>
      <xdr:rowOff>47625</xdr:rowOff>
    </xdr:from>
    <xdr:to>
      <xdr:col>15</xdr:col>
      <xdr:colOff>515299</xdr:colOff>
      <xdr:row>9</xdr:row>
      <xdr:rowOff>57258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AAA3E4-4E6C-3AA7-A2E5-E868EAD35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1000125"/>
          <a:ext cx="6801799" cy="7716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2</xdr:row>
      <xdr:rowOff>14285</xdr:rowOff>
    </xdr:from>
    <xdr:to>
      <xdr:col>8</xdr:col>
      <xdr:colOff>628649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1F2CC8-148D-44C1-BD52-79C2923A1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All_Teaching\A_Subjects\NL217%20&#3650;&#3611;&#3619;&#3649;&#3585;&#3619;&#3617;&#3588;&#3629;&#3617;&#3614;&#3636;&#3623;&#3648;&#3605;&#3629;&#3619;&#3660;&#3651;&#3609;&#3585;&#3634;&#3619;&#3649;&#3585;&#3657;&#3611;&#3633;&#3597;&#3627;&#3634;&#3607;&#3634;&#3591;&#3623;&#3636;&#3624;&#3623;&#3585;&#3619;&#3619;&#3617;\Excel_Lab\excel-forecast-function.xlsx" TargetMode="External"/><Relationship Id="rId1" Type="http://schemas.openxmlformats.org/officeDocument/2006/relationships/externalLinkPath" Target="excel-forecast-func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cel Forecasting Functions"/>
      <sheetName val="Linear forecast"/>
      <sheetName val="ETS forecast"/>
    </sheetNames>
    <sheetDataSet>
      <sheetData sheetId="0"/>
      <sheetData sheetId="1"/>
      <sheetData sheetId="2">
        <row r="1">
          <cell r="E1" t="str">
            <v>Lower bound</v>
          </cell>
          <cell r="F1" t="str">
            <v>Upper bound</v>
          </cell>
        </row>
        <row r="2">
          <cell r="A2">
            <v>43514</v>
          </cell>
          <cell r="B2">
            <v>118488</v>
          </cell>
        </row>
        <row r="3">
          <cell r="A3">
            <v>43515</v>
          </cell>
          <cell r="B3">
            <v>140502</v>
          </cell>
        </row>
        <row r="4">
          <cell r="A4">
            <v>43516</v>
          </cell>
          <cell r="B4">
            <v>141652</v>
          </cell>
        </row>
        <row r="5">
          <cell r="A5">
            <v>43517</v>
          </cell>
          <cell r="B5">
            <v>144538</v>
          </cell>
        </row>
        <row r="6">
          <cell r="A6">
            <v>43518</v>
          </cell>
          <cell r="B6">
            <v>122812</v>
          </cell>
        </row>
        <row r="7">
          <cell r="A7">
            <v>43519</v>
          </cell>
          <cell r="B7">
            <v>42171</v>
          </cell>
        </row>
        <row r="8">
          <cell r="A8">
            <v>43520</v>
          </cell>
          <cell r="B8">
            <v>40437</v>
          </cell>
        </row>
        <row r="9">
          <cell r="A9">
            <v>43521</v>
          </cell>
          <cell r="B9">
            <v>133362</v>
          </cell>
        </row>
        <row r="10">
          <cell r="A10">
            <v>43522</v>
          </cell>
          <cell r="B10">
            <v>147998</v>
          </cell>
        </row>
        <row r="11">
          <cell r="A11">
            <v>43523</v>
          </cell>
          <cell r="B11">
            <v>148258</v>
          </cell>
        </row>
        <row r="12">
          <cell r="A12">
            <v>43524</v>
          </cell>
          <cell r="B12">
            <v>147562</v>
          </cell>
        </row>
        <row r="13">
          <cell r="A13">
            <v>43525</v>
          </cell>
          <cell r="B13">
            <v>134396</v>
          </cell>
        </row>
        <row r="14">
          <cell r="A14">
            <v>43526</v>
          </cell>
          <cell r="B14">
            <v>47386</v>
          </cell>
        </row>
        <row r="15">
          <cell r="A15">
            <v>43527</v>
          </cell>
          <cell r="B15">
            <v>44434</v>
          </cell>
        </row>
        <row r="16">
          <cell r="A16">
            <v>43528</v>
          </cell>
          <cell r="B16">
            <v>141173</v>
          </cell>
        </row>
        <row r="17">
          <cell r="A17">
            <v>43529</v>
          </cell>
          <cell r="B17">
            <v>152409</v>
          </cell>
        </row>
        <row r="18">
          <cell r="A18">
            <v>43530</v>
          </cell>
          <cell r="B18">
            <v>157249</v>
          </cell>
        </row>
        <row r="19">
          <cell r="A19">
            <v>43531</v>
          </cell>
          <cell r="B19">
            <v>154527</v>
          </cell>
        </row>
        <row r="20">
          <cell r="A20">
            <v>43532</v>
          </cell>
          <cell r="B20">
            <v>130636</v>
          </cell>
        </row>
        <row r="21">
          <cell r="A21">
            <v>43533</v>
          </cell>
          <cell r="B21">
            <v>45896</v>
          </cell>
        </row>
        <row r="22">
          <cell r="A22">
            <v>43534</v>
          </cell>
          <cell r="B22">
            <v>43801</v>
          </cell>
          <cell r="C22">
            <v>43801</v>
          </cell>
          <cell r="E22">
            <v>43801</v>
          </cell>
          <cell r="F22">
            <v>43801</v>
          </cell>
        </row>
        <row r="23">
          <cell r="A23">
            <v>43535</v>
          </cell>
        </row>
        <row r="24">
          <cell r="A24">
            <v>43536</v>
          </cell>
        </row>
        <row r="25">
          <cell r="A25">
            <v>43537</v>
          </cell>
        </row>
        <row r="26">
          <cell r="A26">
            <v>43538</v>
          </cell>
        </row>
        <row r="27">
          <cell r="A27">
            <v>43539</v>
          </cell>
        </row>
        <row r="28">
          <cell r="A28">
            <v>43540</v>
          </cell>
        </row>
        <row r="29">
          <cell r="A29">
            <v>43541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096-3FC5-4FA2-9B8D-D13BFAC565A9}">
  <dimension ref="A1:H79"/>
  <sheetViews>
    <sheetView workbookViewId="0">
      <selection activeCell="B1" sqref="B1:B1048576"/>
    </sheetView>
  </sheetViews>
  <sheetFormatPr defaultRowHeight="15"/>
  <cols>
    <col min="1" max="1" width="12.85546875" customWidth="1"/>
  </cols>
  <sheetData>
    <row r="1" spans="1:8">
      <c r="A1" t="s">
        <v>27</v>
      </c>
      <c r="B1" t="s">
        <v>30</v>
      </c>
      <c r="C1" t="s">
        <v>30</v>
      </c>
      <c r="H1" t="s">
        <v>31</v>
      </c>
    </row>
    <row r="2" spans="1:8">
      <c r="A2">
        <v>1</v>
      </c>
      <c r="B2" s="1">
        <v>3100</v>
      </c>
    </row>
    <row r="3" spans="1:8">
      <c r="A3">
        <v>2</v>
      </c>
      <c r="B3" s="1">
        <v>3700</v>
      </c>
    </row>
    <row r="4" spans="1:8">
      <c r="A4">
        <v>3</v>
      </c>
      <c r="B4" s="1">
        <v>3500</v>
      </c>
    </row>
    <row r="5" spans="1:8">
      <c r="A5">
        <v>4</v>
      </c>
      <c r="B5" s="1">
        <v>3400</v>
      </c>
    </row>
    <row r="6" spans="1:8">
      <c r="A6">
        <v>5</v>
      </c>
      <c r="B6" s="1">
        <v>3350</v>
      </c>
    </row>
    <row r="7" spans="1:8">
      <c r="A7">
        <v>6</v>
      </c>
      <c r="B7" s="1">
        <v>4400</v>
      </c>
    </row>
    <row r="8" spans="1:8">
      <c r="A8">
        <v>7</v>
      </c>
      <c r="B8" s="1">
        <v>4500</v>
      </c>
    </row>
    <row r="9" spans="1:8">
      <c r="A9">
        <v>8</v>
      </c>
      <c r="B9" s="1">
        <v>4000</v>
      </c>
    </row>
    <row r="10" spans="1:8">
      <c r="A10">
        <v>9</v>
      </c>
      <c r="B10" s="1">
        <v>4200</v>
      </c>
    </row>
    <row r="11" spans="1:8">
      <c r="A11">
        <v>10</v>
      </c>
      <c r="B11" s="1">
        <v>3800</v>
      </c>
    </row>
    <row r="12" spans="1:8">
      <c r="A12">
        <v>11</v>
      </c>
      <c r="B12" s="1">
        <v>3500</v>
      </c>
    </row>
    <row r="13" spans="1:8">
      <c r="A13">
        <v>12</v>
      </c>
      <c r="B13" s="1">
        <v>3400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68" spans="1:1">
      <c r="A68" t="s">
        <v>16</v>
      </c>
    </row>
    <row r="69" spans="1:1">
      <c r="A69" t="s">
        <v>17</v>
      </c>
    </row>
    <row r="70" spans="1:1">
      <c r="A70" t="s">
        <v>18</v>
      </c>
    </row>
    <row r="71" spans="1:1">
      <c r="A71" t="s">
        <v>19</v>
      </c>
    </row>
    <row r="72" spans="1:1">
      <c r="A72" t="s">
        <v>20</v>
      </c>
    </row>
    <row r="73" spans="1:1">
      <c r="A73" t="s">
        <v>21</v>
      </c>
    </row>
    <row r="74" spans="1:1">
      <c r="A74" t="s">
        <v>22</v>
      </c>
    </row>
    <row r="75" spans="1:1">
      <c r="A75" t="s">
        <v>23</v>
      </c>
    </row>
    <row r="76" spans="1:1">
      <c r="A76" t="s">
        <v>24</v>
      </c>
    </row>
    <row r="77" spans="1:1">
      <c r="A77" t="s">
        <v>25</v>
      </c>
    </row>
    <row r="78" spans="1:1">
      <c r="A78" t="s">
        <v>18</v>
      </c>
    </row>
    <row r="79" spans="1:1">
      <c r="A79" t="s">
        <v>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E860-EF96-413A-B7CA-65FF745CF6F1}">
  <dimension ref="A1:I79"/>
  <sheetViews>
    <sheetView workbookViewId="0">
      <selection activeCell="C1" sqref="C1:C1048576"/>
    </sheetView>
  </sheetViews>
  <sheetFormatPr defaultRowHeight="15"/>
  <cols>
    <col min="1" max="1" width="17.42578125" customWidth="1"/>
    <col min="2" max="2" width="19.7109375" customWidth="1"/>
    <col min="3" max="3" width="12.5703125" customWidth="1"/>
  </cols>
  <sheetData>
    <row r="1" spans="1:9">
      <c r="A1" t="s">
        <v>27</v>
      </c>
      <c r="B1" t="s">
        <v>28</v>
      </c>
      <c r="C1" t="s">
        <v>29</v>
      </c>
      <c r="D1" t="s">
        <v>30</v>
      </c>
      <c r="E1" t="s">
        <v>32</v>
      </c>
      <c r="I1" t="s">
        <v>31</v>
      </c>
    </row>
    <row r="2" spans="1:9">
      <c r="A2" t="s">
        <v>0</v>
      </c>
      <c r="B2">
        <v>6</v>
      </c>
      <c r="C2">
        <v>45</v>
      </c>
      <c r="D2" t="s">
        <v>16</v>
      </c>
    </row>
    <row r="3" spans="1:9">
      <c r="A3" t="s">
        <v>1</v>
      </c>
      <c r="B3">
        <v>7</v>
      </c>
      <c r="C3">
        <v>55</v>
      </c>
      <c r="D3" t="s">
        <v>17</v>
      </c>
      <c r="H3" t="s">
        <v>26</v>
      </c>
    </row>
    <row r="4" spans="1:9">
      <c r="A4" t="s">
        <v>2</v>
      </c>
      <c r="B4">
        <v>7</v>
      </c>
      <c r="C4">
        <v>47</v>
      </c>
      <c r="D4" t="s">
        <v>18</v>
      </c>
    </row>
    <row r="5" spans="1:9">
      <c r="A5" t="s">
        <v>3</v>
      </c>
      <c r="B5">
        <v>8</v>
      </c>
      <c r="C5">
        <v>60</v>
      </c>
      <c r="D5" t="s">
        <v>19</v>
      </c>
    </row>
    <row r="6" spans="1:9">
      <c r="A6" t="s">
        <v>4</v>
      </c>
      <c r="B6">
        <v>8</v>
      </c>
      <c r="C6">
        <v>90</v>
      </c>
      <c r="D6" t="s">
        <v>20</v>
      </c>
    </row>
    <row r="7" spans="1:9">
      <c r="A7" t="s">
        <v>5</v>
      </c>
      <c r="B7">
        <v>9</v>
      </c>
      <c r="C7">
        <v>100</v>
      </c>
      <c r="D7" t="s">
        <v>21</v>
      </c>
    </row>
    <row r="8" spans="1:9">
      <c r="A8" t="s">
        <v>6</v>
      </c>
      <c r="B8">
        <v>10</v>
      </c>
      <c r="C8">
        <v>100</v>
      </c>
      <c r="D8" t="s">
        <v>22</v>
      </c>
    </row>
    <row r="9" spans="1:9">
      <c r="A9" t="s">
        <v>7</v>
      </c>
      <c r="B9">
        <v>9</v>
      </c>
      <c r="C9">
        <v>95</v>
      </c>
      <c r="D9" t="s">
        <v>23</v>
      </c>
    </row>
    <row r="10" spans="1:9">
      <c r="A10" t="s">
        <v>8</v>
      </c>
      <c r="B10">
        <v>9</v>
      </c>
      <c r="C10">
        <v>88</v>
      </c>
      <c r="D10" t="s">
        <v>24</v>
      </c>
    </row>
    <row r="11" spans="1:9">
      <c r="A11" t="s">
        <v>9</v>
      </c>
      <c r="B11">
        <v>8</v>
      </c>
      <c r="C11">
        <v>50</v>
      </c>
      <c r="D11" t="s">
        <v>25</v>
      </c>
    </row>
    <row r="12" spans="1:9">
      <c r="A12" t="s">
        <v>10</v>
      </c>
      <c r="B12">
        <v>8</v>
      </c>
      <c r="C12">
        <v>45</v>
      </c>
      <c r="D12" t="s">
        <v>18</v>
      </c>
    </row>
    <row r="13" spans="1:9">
      <c r="A13" t="s">
        <v>11</v>
      </c>
      <c r="B13">
        <v>7</v>
      </c>
      <c r="C13">
        <v>58</v>
      </c>
      <c r="D13" t="s">
        <v>19</v>
      </c>
    </row>
    <row r="14" spans="1:9">
      <c r="A14" t="s">
        <v>12</v>
      </c>
      <c r="B14">
        <v>7</v>
      </c>
      <c r="C14">
        <v>47</v>
      </c>
    </row>
    <row r="15" spans="1:9">
      <c r="A15" t="s">
        <v>13</v>
      </c>
      <c r="B15">
        <v>8</v>
      </c>
      <c r="C15">
        <v>58</v>
      </c>
    </row>
    <row r="16" spans="1:9">
      <c r="A16" t="s">
        <v>14</v>
      </c>
      <c r="B16">
        <v>8</v>
      </c>
      <c r="C16">
        <v>59</v>
      </c>
    </row>
    <row r="17" spans="1:3">
      <c r="A17" t="s">
        <v>15</v>
      </c>
      <c r="B17">
        <v>9</v>
      </c>
      <c r="C17">
        <v>62</v>
      </c>
    </row>
    <row r="21" spans="1:3">
      <c r="C21">
        <f>6*45</f>
        <v>270</v>
      </c>
    </row>
    <row r="68" spans="1:1">
      <c r="A68" t="s">
        <v>16</v>
      </c>
    </row>
    <row r="69" spans="1:1">
      <c r="A69" t="s">
        <v>17</v>
      </c>
    </row>
    <row r="70" spans="1:1">
      <c r="A70" t="s">
        <v>18</v>
      </c>
    </row>
    <row r="71" spans="1:1">
      <c r="A71" t="s">
        <v>19</v>
      </c>
    </row>
    <row r="72" spans="1:1">
      <c r="A72" t="s">
        <v>20</v>
      </c>
    </row>
    <row r="73" spans="1:1">
      <c r="A73" t="s">
        <v>21</v>
      </c>
    </row>
    <row r="74" spans="1:1">
      <c r="A74" t="s">
        <v>22</v>
      </c>
    </row>
    <row r="75" spans="1:1">
      <c r="A75" t="s">
        <v>23</v>
      </c>
    </row>
    <row r="76" spans="1:1">
      <c r="A76" t="s">
        <v>24</v>
      </c>
    </row>
    <row r="77" spans="1:1">
      <c r="A77" t="s">
        <v>25</v>
      </c>
    </row>
    <row r="78" spans="1:1">
      <c r="A78" t="s">
        <v>18</v>
      </c>
    </row>
    <row r="79" spans="1:1">
      <c r="A79" t="s">
        <v>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205DF-8825-46BC-81FE-F5878512C0CF}">
  <dimension ref="A1:G10"/>
  <sheetViews>
    <sheetView workbookViewId="0">
      <selection activeCell="G2" sqref="G2"/>
    </sheetView>
  </sheetViews>
  <sheetFormatPr defaultRowHeight="15"/>
  <cols>
    <col min="3" max="3" width="14.42578125" customWidth="1"/>
  </cols>
  <sheetData>
    <row r="1" spans="1:7">
      <c r="A1" t="s">
        <v>27</v>
      </c>
      <c r="B1" t="s">
        <v>42</v>
      </c>
      <c r="C1" t="s">
        <v>44</v>
      </c>
      <c r="D1" t="s">
        <v>43</v>
      </c>
      <c r="G1" t="s">
        <v>56</v>
      </c>
    </row>
    <row r="2" spans="1:7">
      <c r="A2" t="s">
        <v>33</v>
      </c>
      <c r="B2">
        <v>39</v>
      </c>
      <c r="G2" t="s">
        <v>59</v>
      </c>
    </row>
    <row r="3" spans="1:7">
      <c r="A3" t="s">
        <v>34</v>
      </c>
      <c r="B3">
        <v>42</v>
      </c>
    </row>
    <row r="4" spans="1:7">
      <c r="A4" t="s">
        <v>35</v>
      </c>
      <c r="B4">
        <v>50</v>
      </c>
    </row>
    <row r="5" spans="1:7">
      <c r="A5" t="s">
        <v>36</v>
      </c>
      <c r="B5">
        <v>60</v>
      </c>
    </row>
    <row r="6" spans="1:7">
      <c r="A6" t="s">
        <v>37</v>
      </c>
      <c r="B6">
        <v>79</v>
      </c>
    </row>
    <row r="7" spans="1:7">
      <c r="A7" t="s">
        <v>38</v>
      </c>
      <c r="B7">
        <v>85</v>
      </c>
    </row>
    <row r="8" spans="1:7">
      <c r="A8" t="s">
        <v>39</v>
      </c>
      <c r="B8">
        <v>81</v>
      </c>
    </row>
    <row r="9" spans="1:7">
      <c r="A9" t="s">
        <v>40</v>
      </c>
      <c r="B9">
        <v>76</v>
      </c>
    </row>
    <row r="10" spans="1:7">
      <c r="A10" t="s">
        <v>41</v>
      </c>
      <c r="B10">
        <v>71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A0A9D-4586-48ED-92B0-25B95E0C82C6}">
  <dimension ref="A1:G13"/>
  <sheetViews>
    <sheetView workbookViewId="0">
      <selection activeCell="G4" sqref="G4"/>
    </sheetView>
  </sheetViews>
  <sheetFormatPr defaultRowHeight="15"/>
  <sheetData>
    <row r="1" spans="1:7">
      <c r="A1" t="s">
        <v>27</v>
      </c>
      <c r="B1" t="s">
        <v>30</v>
      </c>
    </row>
    <row r="2" spans="1:7">
      <c r="A2" t="s">
        <v>33</v>
      </c>
      <c r="B2">
        <v>200</v>
      </c>
      <c r="D2" t="s">
        <v>60</v>
      </c>
    </row>
    <row r="3" spans="1:7">
      <c r="A3" t="s">
        <v>34</v>
      </c>
      <c r="B3">
        <v>320</v>
      </c>
    </row>
    <row r="4" spans="1:7">
      <c r="A4" t="s">
        <v>35</v>
      </c>
      <c r="B4">
        <v>180</v>
      </c>
      <c r="G4" t="s">
        <v>56</v>
      </c>
    </row>
    <row r="5" spans="1:7">
      <c r="A5" t="s">
        <v>36</v>
      </c>
      <c r="B5">
        <v>450</v>
      </c>
      <c r="G5" t="s">
        <v>59</v>
      </c>
    </row>
    <row r="6" spans="1:7">
      <c r="A6" t="s">
        <v>37</v>
      </c>
      <c r="B6">
        <v>360</v>
      </c>
    </row>
    <row r="7" spans="1:7">
      <c r="A7" t="s">
        <v>38</v>
      </c>
      <c r="B7">
        <v>400</v>
      </c>
    </row>
    <row r="8" spans="1:7">
      <c r="A8" t="s">
        <v>39</v>
      </c>
      <c r="B8">
        <v>240</v>
      </c>
    </row>
    <row r="9" spans="1:7">
      <c r="A9" t="s">
        <v>40</v>
      </c>
      <c r="B9">
        <v>280</v>
      </c>
    </row>
    <row r="10" spans="1:7">
      <c r="A10" t="s">
        <v>41</v>
      </c>
      <c r="B10">
        <v>310</v>
      </c>
    </row>
    <row r="11" spans="1:7">
      <c r="A11" t="s">
        <v>45</v>
      </c>
    </row>
    <row r="12" spans="1:7">
      <c r="A12" t="s">
        <v>46</v>
      </c>
    </row>
    <row r="13" spans="1:7">
      <c r="A13" t="s">
        <v>47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4BF3-C491-4D76-A446-C9B98F777915}">
  <dimension ref="A1:L7"/>
  <sheetViews>
    <sheetView workbookViewId="0">
      <selection activeCell="B9" sqref="B9"/>
    </sheetView>
  </sheetViews>
  <sheetFormatPr defaultRowHeight="15"/>
  <sheetData>
    <row r="1" spans="1:12">
      <c r="A1" t="s">
        <v>27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45</v>
      </c>
      <c r="L1" t="s">
        <v>46</v>
      </c>
    </row>
    <row r="2" spans="1:12">
      <c r="A2" t="s">
        <v>30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57</v>
      </c>
    </row>
    <row r="4" spans="1:12">
      <c r="A4" t="s">
        <v>58</v>
      </c>
    </row>
    <row r="7" spans="1:12">
      <c r="F7" t="s">
        <v>56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0360-988F-450B-A2ED-79686B21E462}">
  <dimension ref="A1:H29"/>
  <sheetViews>
    <sheetView workbookViewId="0">
      <selection activeCell="J12" sqref="J12"/>
    </sheetView>
  </sheetViews>
  <sheetFormatPr defaultRowHeight="15"/>
  <cols>
    <col min="1" max="1" width="14" customWidth="1"/>
    <col min="2" max="2" width="13.7109375" customWidth="1"/>
  </cols>
  <sheetData>
    <row r="1" spans="1:8" ht="45">
      <c r="A1" s="2" t="s">
        <v>62</v>
      </c>
      <c r="B1" s="2" t="s">
        <v>63</v>
      </c>
      <c r="C1" s="3" t="s">
        <v>64</v>
      </c>
      <c r="D1" s="3" t="s">
        <v>65</v>
      </c>
      <c r="H1" t="s">
        <v>61</v>
      </c>
    </row>
    <row r="2" spans="1:8">
      <c r="A2" s="4">
        <v>43514</v>
      </c>
      <c r="B2" s="5">
        <v>118488</v>
      </c>
      <c r="C2" s="6"/>
      <c r="D2" s="6"/>
    </row>
    <row r="3" spans="1:8">
      <c r="A3" s="4">
        <v>43515</v>
      </c>
      <c r="B3" s="5">
        <v>140502</v>
      </c>
      <c r="C3" s="6"/>
      <c r="D3" s="6"/>
    </row>
    <row r="4" spans="1:8">
      <c r="A4" s="4">
        <v>43516</v>
      </c>
      <c r="B4" s="5">
        <v>141652</v>
      </c>
      <c r="C4" s="6"/>
      <c r="D4" s="6"/>
    </row>
    <row r="5" spans="1:8">
      <c r="A5" s="4">
        <v>43517</v>
      </c>
      <c r="B5" s="5">
        <v>144538</v>
      </c>
      <c r="C5" s="6"/>
      <c r="D5" s="6"/>
    </row>
    <row r="6" spans="1:8">
      <c r="A6" s="4">
        <v>43518</v>
      </c>
      <c r="B6" s="5">
        <v>122812</v>
      </c>
      <c r="C6" s="6"/>
      <c r="D6" s="6"/>
    </row>
    <row r="7" spans="1:8">
      <c r="A7" s="4">
        <v>43519</v>
      </c>
      <c r="B7" s="5">
        <v>42171</v>
      </c>
      <c r="C7" s="6"/>
      <c r="D7" s="6"/>
    </row>
    <row r="8" spans="1:8">
      <c r="A8" s="4">
        <v>43520</v>
      </c>
      <c r="B8" s="5">
        <v>40437</v>
      </c>
      <c r="C8" s="6"/>
      <c r="D8" s="6"/>
    </row>
    <row r="9" spans="1:8">
      <c r="A9" s="4">
        <v>43521</v>
      </c>
      <c r="B9" s="5">
        <v>133362</v>
      </c>
      <c r="C9" s="6"/>
      <c r="D9" s="6"/>
    </row>
    <row r="10" spans="1:8">
      <c r="A10" s="4">
        <v>43522</v>
      </c>
      <c r="B10" s="5">
        <v>147998</v>
      </c>
      <c r="C10" s="6"/>
      <c r="D10" s="6"/>
    </row>
    <row r="11" spans="1:8">
      <c r="A11" s="4">
        <v>43523</v>
      </c>
      <c r="B11" s="5">
        <v>148258</v>
      </c>
      <c r="C11" s="6"/>
      <c r="D11" s="6"/>
    </row>
    <row r="12" spans="1:8">
      <c r="A12" s="4">
        <v>43524</v>
      </c>
      <c r="B12" s="5">
        <v>147562</v>
      </c>
      <c r="C12" s="6"/>
      <c r="D12" s="6"/>
    </row>
    <row r="13" spans="1:8">
      <c r="A13" s="4">
        <v>43525</v>
      </c>
      <c r="B13" s="5">
        <v>134396</v>
      </c>
      <c r="C13" s="6"/>
      <c r="D13" s="6"/>
    </row>
    <row r="14" spans="1:8">
      <c r="A14" s="4">
        <v>43526</v>
      </c>
      <c r="B14" s="5">
        <v>47386</v>
      </c>
      <c r="C14" s="6"/>
      <c r="D14" s="6"/>
    </row>
    <row r="15" spans="1:8">
      <c r="A15" s="4">
        <v>43527</v>
      </c>
      <c r="B15" s="5">
        <v>44434</v>
      </c>
      <c r="C15" s="6"/>
      <c r="D15" s="6"/>
    </row>
    <row r="16" spans="1:8">
      <c r="A16" s="4">
        <v>43528</v>
      </c>
      <c r="B16" s="5">
        <v>141173</v>
      </c>
      <c r="C16" s="6"/>
      <c r="D16" s="6"/>
    </row>
    <row r="17" spans="1:4">
      <c r="A17" s="4">
        <v>43529</v>
      </c>
      <c r="B17" s="5">
        <v>152409</v>
      </c>
      <c r="C17" s="6"/>
      <c r="D17" s="6"/>
    </row>
    <row r="18" spans="1:4">
      <c r="A18" s="4">
        <v>43530</v>
      </c>
      <c r="B18" s="5">
        <v>157249</v>
      </c>
      <c r="C18" s="6"/>
      <c r="D18" s="6"/>
    </row>
    <row r="19" spans="1:4">
      <c r="A19" s="4">
        <v>43531</v>
      </c>
      <c r="B19" s="5">
        <v>154527</v>
      </c>
      <c r="C19" s="6"/>
      <c r="D19" s="6"/>
    </row>
    <row r="20" spans="1:4">
      <c r="A20" s="4">
        <v>43532</v>
      </c>
      <c r="B20" s="5">
        <v>130636</v>
      </c>
      <c r="C20" s="6"/>
      <c r="D20" s="6"/>
    </row>
    <row r="21" spans="1:4">
      <c r="A21" s="4">
        <v>43533</v>
      </c>
      <c r="B21" s="5">
        <v>45896</v>
      </c>
      <c r="C21" s="6"/>
      <c r="D21" s="6"/>
    </row>
    <row r="22" spans="1:4">
      <c r="A22" s="4">
        <v>43534</v>
      </c>
      <c r="B22" s="5">
        <v>43801</v>
      </c>
      <c r="C22" s="5">
        <v>43801</v>
      </c>
      <c r="D22" s="6"/>
    </row>
    <row r="23" spans="1:4">
      <c r="A23" s="4">
        <v>43535</v>
      </c>
      <c r="B23" s="6"/>
      <c r="C23" s="5"/>
      <c r="D23" s="5"/>
    </row>
    <row r="24" spans="1:4">
      <c r="A24" s="4">
        <v>43536</v>
      </c>
      <c r="B24" s="6"/>
      <c r="C24" s="5"/>
      <c r="D24" s="5"/>
    </row>
    <row r="25" spans="1:4">
      <c r="A25" s="4">
        <v>43537</v>
      </c>
      <c r="B25" s="6"/>
      <c r="C25" s="5"/>
      <c r="D25" s="5"/>
    </row>
    <row r="26" spans="1:4">
      <c r="A26" s="4">
        <v>43538</v>
      </c>
      <c r="B26" s="6"/>
      <c r="C26" s="5"/>
      <c r="D26" s="5"/>
    </row>
    <row r="27" spans="1:4">
      <c r="A27" s="4">
        <v>43539</v>
      </c>
      <c r="B27" s="6"/>
      <c r="C27" s="5"/>
      <c r="D27" s="5"/>
    </row>
    <row r="28" spans="1:4">
      <c r="A28" s="4">
        <v>43540</v>
      </c>
      <c r="B28" s="6"/>
      <c r="C28" s="5"/>
      <c r="D28" s="5"/>
    </row>
    <row r="29" spans="1:4">
      <c r="A29" s="4">
        <v>43541</v>
      </c>
      <c r="B29" s="6"/>
      <c r="C29" s="5"/>
      <c r="D29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39FB-1D92-4076-BD5E-8320562F2A73}">
  <dimension ref="A1:M35"/>
  <sheetViews>
    <sheetView tabSelected="1" workbookViewId="0">
      <selection activeCell="L16" sqref="L16"/>
    </sheetView>
  </sheetViews>
  <sheetFormatPr defaultRowHeight="15"/>
  <cols>
    <col min="1" max="1" width="13" customWidth="1"/>
    <col min="4" max="4" width="13.85546875" customWidth="1"/>
    <col min="5" max="5" width="14" customWidth="1"/>
    <col min="6" max="6" width="13" customWidth="1"/>
    <col min="9" max="9" width="15.42578125" customWidth="1"/>
    <col min="12" max="12" width="43.85546875" customWidth="1"/>
  </cols>
  <sheetData>
    <row r="1" spans="1:13" ht="45">
      <c r="A1" s="7" t="s">
        <v>66</v>
      </c>
      <c r="B1" s="7" t="s">
        <v>67</v>
      </c>
      <c r="C1" s="7" t="s">
        <v>68</v>
      </c>
      <c r="D1" s="7" t="s">
        <v>69</v>
      </c>
      <c r="E1" s="7" t="s">
        <v>70</v>
      </c>
      <c r="F1" s="7" t="s">
        <v>71</v>
      </c>
      <c r="J1" s="7" t="s">
        <v>72</v>
      </c>
      <c r="K1" s="7" t="s">
        <v>73</v>
      </c>
      <c r="M1" s="7" t="s">
        <v>74</v>
      </c>
    </row>
    <row r="2" spans="1:13">
      <c r="A2" s="8">
        <v>43514</v>
      </c>
      <c r="B2" s="1">
        <v>118488</v>
      </c>
      <c r="J2" t="s">
        <v>75</v>
      </c>
      <c r="K2">
        <f>_xlfn.FORECAST.ETS.STAT($B$2:$B$22,$A$2:$A$22,1)</f>
        <v>0.501</v>
      </c>
      <c r="L2" s="14" t="str">
        <f ca="1">_xlfn.FORMULATEXT(K2)</f>
        <v>=FORECAST.ETS.STAT($B$2:$B$22,$A$2:$A$22,1)</v>
      </c>
      <c r="M2">
        <f>_xlfn.FORECAST.ETS.SEASONALITY($B$2:$B$22,$A$2:$A$22)</f>
        <v>7</v>
      </c>
    </row>
    <row r="3" spans="1:13">
      <c r="A3" s="8">
        <v>43515</v>
      </c>
      <c r="B3" s="1">
        <v>140502</v>
      </c>
      <c r="J3" t="s">
        <v>76</v>
      </c>
      <c r="K3">
        <f>_xlfn.FORECAST.ETS.STAT($B$2:$B$22,$A$2:$A$22,2)</f>
        <v>1E-3</v>
      </c>
      <c r="L3" s="14" t="str">
        <f t="shared" ref="L3:L9" ca="1" si="0">_xlfn.FORMULATEXT(K3)</f>
        <v>=FORECAST.ETS.STAT($B$2:$B$22,$A$2:$A$22,2)</v>
      </c>
    </row>
    <row r="4" spans="1:13">
      <c r="A4" s="8">
        <v>43516</v>
      </c>
      <c r="B4" s="1">
        <v>141652</v>
      </c>
      <c r="J4" t="s">
        <v>77</v>
      </c>
      <c r="K4">
        <f>_xlfn.FORECAST.ETS.STAT($B$2:$B$22,$A$2:$A$22,3)</f>
        <v>1E-3</v>
      </c>
      <c r="L4" s="14"/>
    </row>
    <row r="5" spans="1:13">
      <c r="A5" s="8">
        <v>43517</v>
      </c>
      <c r="B5" s="1">
        <v>144538</v>
      </c>
      <c r="J5" t="s">
        <v>78</v>
      </c>
      <c r="K5">
        <f>_xlfn.FORECAST.ETS.STAT($B$2:$B$22,$A$2:$A$22,4)</f>
        <v>0.11158326632721841</v>
      </c>
      <c r="L5" s="14"/>
    </row>
    <row r="6" spans="1:13">
      <c r="A6" s="8">
        <v>43518</v>
      </c>
      <c r="B6" s="1">
        <v>122812</v>
      </c>
      <c r="J6" t="s">
        <v>79</v>
      </c>
      <c r="K6">
        <f>_xlfn.FORECAST.ETS.STAT($B$2:$B$22,$A$2:$A$22,5)</f>
        <v>3.4257648772962605E-2</v>
      </c>
      <c r="L6" s="14"/>
    </row>
    <row r="7" spans="1:13">
      <c r="A7" s="8">
        <v>43519</v>
      </c>
      <c r="B7" s="1">
        <v>42171</v>
      </c>
      <c r="J7" t="s">
        <v>80</v>
      </c>
      <c r="K7">
        <f>_xlfn.FORECAST.ETS.STAT($B$2:$B$22,$A$2:$A$22,6)</f>
        <v>3150.776691281666</v>
      </c>
      <c r="L7" s="14"/>
    </row>
    <row r="8" spans="1:13">
      <c r="A8" s="8">
        <v>43520</v>
      </c>
      <c r="B8" s="1">
        <v>40437</v>
      </c>
      <c r="J8" t="s">
        <v>81</v>
      </c>
      <c r="K8">
        <f>_xlfn.FORECAST.ETS.STAT($B$2:$B$22,$A$2:$A$22,7)</f>
        <v>3699.194210095442</v>
      </c>
      <c r="L8" s="14"/>
    </row>
    <row r="9" spans="1:13">
      <c r="A9" s="8">
        <v>43521</v>
      </c>
      <c r="B9" s="1">
        <v>133362</v>
      </c>
      <c r="J9" t="s">
        <v>82</v>
      </c>
      <c r="K9">
        <f>_xlfn.FORECAST.ETS.STAT($B$2:$B$22,$A$2:$A$22,8)</f>
        <v>1</v>
      </c>
      <c r="L9" s="14"/>
    </row>
    <row r="10" spans="1:13">
      <c r="A10" s="8">
        <v>43522</v>
      </c>
      <c r="B10" s="1">
        <v>147998</v>
      </c>
    </row>
    <row r="11" spans="1:13">
      <c r="A11" s="8">
        <v>43523</v>
      </c>
      <c r="B11" s="1">
        <v>148258</v>
      </c>
    </row>
    <row r="12" spans="1:13">
      <c r="A12" s="8">
        <v>43524</v>
      </c>
      <c r="B12" s="1">
        <v>147562</v>
      </c>
    </row>
    <row r="13" spans="1:13">
      <c r="A13" s="8">
        <v>43525</v>
      </c>
      <c r="B13" s="1">
        <v>134396</v>
      </c>
    </row>
    <row r="14" spans="1:13">
      <c r="A14" s="8">
        <v>43526</v>
      </c>
      <c r="B14" s="1">
        <v>47386</v>
      </c>
    </row>
    <row r="15" spans="1:13">
      <c r="A15" s="8">
        <v>43527</v>
      </c>
      <c r="B15" s="1">
        <v>44434</v>
      </c>
      <c r="J15" t="s">
        <v>61</v>
      </c>
    </row>
    <row r="16" spans="1:13">
      <c r="A16" s="8">
        <v>43528</v>
      </c>
      <c r="B16" s="1">
        <v>141173</v>
      </c>
    </row>
    <row r="17" spans="1:6">
      <c r="A17" s="8">
        <v>43529</v>
      </c>
      <c r="B17" s="1">
        <v>152409</v>
      </c>
    </row>
    <row r="18" spans="1:6">
      <c r="A18" s="8">
        <v>43530</v>
      </c>
      <c r="B18" s="1">
        <v>157249</v>
      </c>
    </row>
    <row r="19" spans="1:6">
      <c r="A19" s="8">
        <v>43531</v>
      </c>
      <c r="B19" s="1">
        <v>154527</v>
      </c>
    </row>
    <row r="20" spans="1:6">
      <c r="A20" s="8">
        <v>43532</v>
      </c>
      <c r="B20" s="1">
        <v>130636</v>
      </c>
    </row>
    <row r="21" spans="1:6">
      <c r="A21" s="8">
        <v>43533</v>
      </c>
      <c r="B21" s="1">
        <v>45896</v>
      </c>
      <c r="C21" s="16" t="s">
        <v>83</v>
      </c>
      <c r="D21" s="16" t="s">
        <v>84</v>
      </c>
      <c r="E21" s="16" t="s">
        <v>85</v>
      </c>
      <c r="F21" s="16" t="s">
        <v>86</v>
      </c>
    </row>
    <row r="22" spans="1:6">
      <c r="A22" s="8">
        <v>43534</v>
      </c>
      <c r="B22" s="1">
        <v>43801</v>
      </c>
      <c r="C22" s="1">
        <v>43801</v>
      </c>
      <c r="D22" s="9"/>
      <c r="E22" s="1">
        <v>43801</v>
      </c>
      <c r="F22" s="1">
        <v>43801</v>
      </c>
    </row>
    <row r="23" spans="1:6">
      <c r="A23" s="8">
        <v>43535</v>
      </c>
      <c r="C23" s="11">
        <f>_xlfn.FORECAST.ETS(A23,$B$2:$B$22,$A$2:$A$22)</f>
        <v>137663.40962059228</v>
      </c>
      <c r="D23" s="12">
        <f>_xlfn.FORECAST.ETS.CONFINT(A23,$B$2:$B$22,$A$2:$A$22)</f>
        <v>6441.2164989691337</v>
      </c>
      <c r="E23" s="12">
        <f>C23-D23</f>
        <v>131222.19312162316</v>
      </c>
      <c r="F23" s="13">
        <f>C23+D23</f>
        <v>144104.62611956141</v>
      </c>
    </row>
    <row r="24" spans="1:6">
      <c r="A24" s="8">
        <v>43536</v>
      </c>
      <c r="C24" s="1"/>
      <c r="D24" s="9"/>
      <c r="E24" s="9"/>
      <c r="F24" s="10"/>
    </row>
    <row r="25" spans="1:6">
      <c r="A25" s="8">
        <v>43537</v>
      </c>
      <c r="C25" s="1"/>
      <c r="D25" s="9"/>
      <c r="E25" s="9"/>
      <c r="F25" s="10"/>
    </row>
    <row r="26" spans="1:6">
      <c r="A26" s="8">
        <v>43538</v>
      </c>
      <c r="C26" s="1"/>
      <c r="D26" s="9"/>
      <c r="E26" s="9"/>
      <c r="F26" s="10"/>
    </row>
    <row r="27" spans="1:6">
      <c r="A27" s="8">
        <v>43539</v>
      </c>
      <c r="C27" s="1"/>
      <c r="D27" s="9"/>
      <c r="E27" s="9"/>
      <c r="F27" s="10"/>
    </row>
    <row r="28" spans="1:6">
      <c r="A28" s="8">
        <v>43540</v>
      </c>
      <c r="C28" s="1"/>
      <c r="D28" s="9"/>
      <c r="E28" s="9"/>
      <c r="F28" s="10"/>
    </row>
    <row r="29" spans="1:6">
      <c r="A29" s="8">
        <v>43541</v>
      </c>
      <c r="C29" s="1"/>
      <c r="D29" s="9"/>
      <c r="E29" s="9"/>
      <c r="F29" s="10"/>
    </row>
    <row r="31" spans="1:6">
      <c r="C31" s="15"/>
    </row>
    <row r="32" spans="1:6">
      <c r="B32" s="14" t="s">
        <v>83</v>
      </c>
      <c r="C32" s="14" t="s">
        <v>87</v>
      </c>
      <c r="D32" s="14"/>
      <c r="E32" s="14"/>
      <c r="F32" s="14"/>
    </row>
    <row r="33" spans="2:6">
      <c r="B33" s="14" t="s">
        <v>84</v>
      </c>
      <c r="C33" s="14" t="s">
        <v>88</v>
      </c>
      <c r="D33" s="14"/>
      <c r="E33" s="14"/>
      <c r="F33" s="14"/>
    </row>
    <row r="34" spans="2:6">
      <c r="B34" s="14" t="s">
        <v>86</v>
      </c>
      <c r="C34" s="14" t="s">
        <v>89</v>
      </c>
      <c r="D34" s="14"/>
      <c r="E34" s="14"/>
      <c r="F34" s="14"/>
    </row>
    <row r="35" spans="2:6">
      <c r="B35" s="14" t="s">
        <v>86</v>
      </c>
      <c r="C35" s="14" t="s">
        <v>90</v>
      </c>
      <c r="D35" s="14"/>
      <c r="E35" s="14"/>
      <c r="F35" s="1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Lab5_1</vt:lpstr>
      <vt:lpstr>Lab5_2</vt:lpstr>
      <vt:lpstr>Lab5_3</vt:lpstr>
      <vt:lpstr>Lab5_4</vt:lpstr>
      <vt:lpstr>Lab5_5</vt:lpstr>
      <vt:lpstr>Lab6_1</vt:lpstr>
      <vt:lpstr>Lab6_2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2026-08-30T06:16:34Z</dcterms:modified>
</cp:coreProperties>
</file>