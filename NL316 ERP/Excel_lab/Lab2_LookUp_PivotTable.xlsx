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E:\All_Teaching\A_Subjects\ERP\Excel Lab\"/>
    </mc:Choice>
  </mc:AlternateContent>
  <xr:revisionPtr revIDLastSave="0" documentId="13_ncr:1_{73F45F5D-530D-4D27-AE99-960F9EC216C0}" xr6:coauthVersionLast="47" xr6:coauthVersionMax="47" xr10:uidLastSave="{00000000-0000-0000-0000-000000000000}"/>
  <bookViews>
    <workbookView xWindow="-120" yWindow="-120" windowWidth="19440" windowHeight="11520" activeTab="2" xr2:uid="{00000000-000D-0000-FFFF-FFFF00000000}"/>
  </bookViews>
  <sheets>
    <sheet name="Lookup Sample" sheetId="1" r:id="rId1"/>
    <sheet name="SUMIF" sheetId="2" r:id="rId2"/>
    <sheet name="Pivot" sheetId="5" r:id="rId3"/>
    <sheet name="Dta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4" i="1"/>
  <c r="F6" i="1" a="1"/>
  <c r="F6" i="1" s="1"/>
  <c r="F11" i="1"/>
  <c r="F14" i="1"/>
  <c r="E10" i="2"/>
  <c r="E7" i="2"/>
  <c r="E4" i="2"/>
  <c r="D10" i="2"/>
  <c r="D7" i="2"/>
  <c r="D4" i="2"/>
  <c r="I5" i="2"/>
  <c r="H5" i="2"/>
  <c r="J5" i="2"/>
  <c r="C11" i="2"/>
  <c r="F10" i="1"/>
  <c r="H4" i="2"/>
  <c r="I4" i="2"/>
  <c r="K13" i="1"/>
  <c r="F13" i="1"/>
  <c r="F3" i="1"/>
  <c r="J13" i="1"/>
  <c r="J1" i="1"/>
  <c r="J4" i="2"/>
  <c r="F8" i="1"/>
  <c r="F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<sst xmlns="http://schemas.openxmlformats.org/spreadsheetml/2006/main" count="117" uniqueCount="44">
  <si>
    <t>ProductID</t>
  </si>
  <si>
    <t>Price</t>
  </si>
  <si>
    <t>Lookup Value</t>
  </si>
  <si>
    <t>A101</t>
  </si>
  <si>
    <t>Pen</t>
  </si>
  <si>
    <t>A103</t>
  </si>
  <si>
    <t>A102</t>
  </si>
  <si>
    <t>Pencil</t>
  </si>
  <si>
    <t>Notebook</t>
  </si>
  <si>
    <t>A104</t>
  </si>
  <si>
    <t>Eraser</t>
  </si>
  <si>
    <t>VLOOKUP { Name (2), Price(3) }</t>
  </si>
  <si>
    <t>Name</t>
  </si>
  <si>
    <t>VlookUp</t>
  </si>
  <si>
    <t>XLookUp</t>
  </si>
  <si>
    <t>Total</t>
  </si>
  <si>
    <t>Bulbasaur</t>
  </si>
  <si>
    <t>Grass</t>
  </si>
  <si>
    <t>Ivysaur</t>
  </si>
  <si>
    <t>Venusaur</t>
  </si>
  <si>
    <t>Charmeleon Fire</t>
  </si>
  <si>
    <t>Fire</t>
  </si>
  <si>
    <t>Water</t>
  </si>
  <si>
    <t>Charmander</t>
  </si>
  <si>
    <t>Charizard</t>
  </si>
  <si>
    <t>Squirtle</t>
  </si>
  <si>
    <t>Wartortle</t>
  </si>
  <si>
    <t>Blastoise</t>
  </si>
  <si>
    <t>Type</t>
  </si>
  <si>
    <t>Sum Total</t>
  </si>
  <si>
    <t>SUMIF</t>
  </si>
  <si>
    <t>CountIF</t>
  </si>
  <si>
    <t>Count</t>
  </si>
  <si>
    <t>AVERAGEIF</t>
  </si>
  <si>
    <t>Type Total</t>
  </si>
  <si>
    <t>Type Avg</t>
  </si>
  <si>
    <t>Avg Total</t>
  </si>
  <si>
    <t>สมชาย</t>
  </si>
  <si>
    <t>สมหญิง</t>
  </si>
  <si>
    <t>รักไทย</t>
  </si>
  <si>
    <t>เพื่อนรัก</t>
  </si>
  <si>
    <t>QTY</t>
  </si>
  <si>
    <t>INDEX+MATCH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</si>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</sst>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2" fillId="0" borderId="1" xfId="0" applyFont="1" applyBorder="1"/>
    <xf numFmtId="0" fontId="3" fillId="4" borderId="1" xfId="0" applyFont="1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5" borderId="1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6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3" borderId="2" xfId="0" applyFill="1" applyBorder="1" applyAlignment="1">
      <alignment horizontal="center"/>
    </xf>
    <xf numFmtId="0" fontId="0" fillId="7" borderId="1" xfId="0" applyFill="1" applyBorder="1"/>
    <xf numFmtId="0" fontId="0" fillId="5" borderId="3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4" fillId="2" borderId="4" xfId="0" applyFont="1" applyFill="1" applyBorder="1"/>
    <xf numFmtId="0" fontId="4" fillId="0" borderId="5" xfId="0" applyFont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153865</xdr:colOff>
      <xdr:row>14</xdr:row>
      <xdr:rowOff>124557</xdr:rowOff>
    </xdr:from>
    <xdr:to>
      <xdr:col>5</xdr:col>
      <xdr:colOff>612177</xdr:colOff>
      <xdr:row>33</xdr:row>
      <xdr:rowOff>10746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67946F-C129-111C-C6FB-4A253621E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865" y="2747595"/>
          <a:ext cx="2715004" cy="35056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175260</xdr:colOff>
      <xdr:row>0</xdr:row>
      <xdr:rowOff>144780</xdr:rowOff>
    </xdr:from>
    <xdr:to>
      <xdr:col>14</xdr:col>
      <xdr:colOff>347900</xdr:colOff>
      <xdr:row>3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A73434-25EC-527B-84C0-E9636F8CE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9160" y="144780"/>
          <a:ext cx="782240" cy="5562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9</xdr:col>
      <xdr:colOff>301195</xdr:colOff>
      <xdr:row>24</xdr:row>
      <xdr:rowOff>57344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3C4412-A566-3736-706A-F97D9D44E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8565" y="3238500"/>
          <a:ext cx="6811326" cy="139084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0</xdr:rowOff>
    </xdr:from>
    <xdr:to>
      <xdr:col>11</xdr:col>
      <xdr:colOff>464064</xdr:colOff>
      <xdr:row>45</xdr:row>
      <xdr:rowOff>80481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938B2D9-DE1D-E1BE-433F-B83A8F241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140" y="4937760"/>
          <a:ext cx="8230749" cy="3372321"/>
        </a:xfrm>
        <a:prstGeom prst="rect">
          <a:avLst/>
        </a:prstGeom>
      </xdr:spPr>
    </xdr:pic>
    <xdr:clientData/>
  </xdr:twoCellAnchor>
  <xdr:twoCellAnchor editAs="oneCell">
    <xdr:from>
      <xdr:col>0</xdr:col>
      <xdr:colOff>235323</xdr:colOff>
      <xdr:row>19</xdr:row>
      <xdr:rowOff>100853</xdr:rowOff>
    </xdr:from>
    <xdr:to>
      <xdr:col>14</xdr:col>
      <xdr:colOff>626289</xdr:colOff>
      <xdr:row>34</xdr:row>
      <xdr:rowOff>177462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554C4C3-E162-7A6B-6FDF-A8389A7B5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5323" y="3720353"/>
          <a:ext cx="11193437" cy="29341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opLeftCell="A18" zoomScale="130" zoomScaleNormal="130" workbookViewId="0">
      <selection activeCell="C13" sqref="C13"/>
    </sheetView>
  </sheetViews>
  <sheetFormatPr defaultRowHeight="15" x14ac:dyDescent="0.25"/>
  <cols>
    <col min="1" max="1" width="9.28515625" customWidth="1"/>
    <col min="2" max="2" width="9.140625" customWidth="1"/>
    <col min="3" max="3" width="6.28515625" customWidth="1"/>
    <col min="4" max="4" width="5.42578125" customWidth="1"/>
    <col min="5" max="5" width="3.7109375" customWidth="1"/>
    <col min="6" max="7" width="9.42578125" customWidth="1"/>
    <col min="8" max="8" width="12.140625" customWidth="1"/>
    <col min="9" max="9" width="11.42578125" style="8" customWidth="1"/>
    <col min="10" max="11" width="24" customWidth="1"/>
  </cols>
  <sheetData>
    <row r="1" spans="1:11" x14ac:dyDescent="0.25">
      <c r="A1" s="12" t="s">
        <v>0</v>
      </c>
      <c r="B1" s="12" t="s">
        <v>12</v>
      </c>
      <c r="C1" s="12" t="s">
        <v>1</v>
      </c>
      <c r="D1" s="12" t="s">
        <v>41</v>
      </c>
      <c r="E1" s="8"/>
      <c r="F1" t="s">
        <v>2</v>
      </c>
      <c r="G1" s="8"/>
      <c r="J1" s="1" t="e">
        <f ca="1">_xlfn.FORMULATEXT(J3)</f>
        <v>#N/A</v>
      </c>
      <c r="K1" s="2" t="s">
        <v>11</v>
      </c>
    </row>
    <row r="2" spans="1:11" x14ac:dyDescent="0.25">
      <c r="A2" s="12" t="s">
        <v>3</v>
      </c>
      <c r="B2" s="12" t="s">
        <v>4</v>
      </c>
      <c r="C2" s="12">
        <v>10</v>
      </c>
      <c r="D2" s="12">
        <v>5</v>
      </c>
      <c r="E2" s="8"/>
      <c r="F2" s="23" t="s">
        <v>5</v>
      </c>
      <c r="G2" s="8"/>
      <c r="I2" s="9" t="s">
        <v>13</v>
      </c>
      <c r="J2" s="6" t="s">
        <v>12</v>
      </c>
      <c r="K2" s="6" t="s">
        <v>1</v>
      </c>
    </row>
    <row r="3" spans="1:11" x14ac:dyDescent="0.25">
      <c r="A3" s="12" t="s">
        <v>6</v>
      </c>
      <c r="B3" s="12" t="s">
        <v>7</v>
      </c>
      <c r="C3" s="12">
        <v>5</v>
      </c>
      <c r="D3" s="12">
        <v>10</v>
      </c>
      <c r="E3" s="8"/>
      <c r="F3" t="str">
        <f ca="1">_xlfn.FORMULATEXT(F4)</f>
        <v>=VLOOKUP($F$2, A2:C5,3, 0)</v>
      </c>
      <c r="G3" s="8"/>
      <c r="I3" s="12" t="s">
        <v>5</v>
      </c>
      <c r="J3" s="3"/>
      <c r="K3" s="2"/>
    </row>
    <row r="4" spans="1:11" x14ac:dyDescent="0.25">
      <c r="A4" s="12" t="s">
        <v>5</v>
      </c>
      <c r="B4" s="12" t="s">
        <v>8</v>
      </c>
      <c r="C4" s="12">
        <v>25</v>
      </c>
      <c r="D4" s="12">
        <v>15</v>
      </c>
      <c r="E4" s="8"/>
      <c r="F4" s="24">
        <f>VLOOKUP($F$2, A2:C5,3, 0)</f>
        <v>25</v>
      </c>
      <c r="G4" s="8"/>
      <c r="I4" s="12" t="s">
        <v>3</v>
      </c>
      <c r="J4" s="2"/>
      <c r="K4" s="2"/>
    </row>
    <row r="5" spans="1:11" x14ac:dyDescent="0.25">
      <c r="A5" s="12" t="s">
        <v>9</v>
      </c>
      <c r="B5" s="12" t="s">
        <v>10</v>
      </c>
      <c r="C5" s="12">
        <v>8</v>
      </c>
      <c r="D5" s="12">
        <v>5</v>
      </c>
      <c r="E5" s="8"/>
      <c r="F5" t="str">
        <f ca="1">_xlfn.FORMULATEXT(F6)</f>
        <v>=VLOOKUP($F$2, A4:C8, {2,3}, 0)</v>
      </c>
      <c r="G5" s="8"/>
      <c r="I5" s="12" t="s">
        <v>9</v>
      </c>
      <c r="J5" s="2"/>
      <c r="K5" s="2"/>
    </row>
    <row r="6" spans="1:11" x14ac:dyDescent="0.25">
      <c r="F6" s="25" t="str" cm="1">
        <f t="array" ref="F6:G6">VLOOKUP($F$2, A4:C8, {2,3}, 0)</f>
        <v>Notebook</v>
      </c>
      <c r="G6" s="26">
        <v>25</v>
      </c>
    </row>
    <row r="7" spans="1:11" ht="11.25" customHeight="1" x14ac:dyDescent="0.25">
      <c r="G7" s="8"/>
    </row>
    <row r="8" spans="1:11" x14ac:dyDescent="0.25">
      <c r="A8" s="8"/>
      <c r="D8" s="13"/>
      <c r="F8" t="str">
        <f ca="1">_xlfn.FORMULATEXT(F9)</f>
        <v>= MATCH(F2,A1:A5)</v>
      </c>
      <c r="I8" s="27" t="s">
        <v>42</v>
      </c>
      <c r="J8" s="6" t="s">
        <v>12</v>
      </c>
      <c r="K8" s="6" t="s">
        <v>1</v>
      </c>
    </row>
    <row r="9" spans="1:11" x14ac:dyDescent="0.25">
      <c r="A9" s="8"/>
      <c r="F9" s="11">
        <f xml:space="preserve"> MATCH(F2,A1:A5)</f>
        <v>4</v>
      </c>
      <c r="I9" s="12" t="s">
        <v>5</v>
      </c>
      <c r="J9" s="4"/>
      <c r="K9" s="4"/>
    </row>
    <row r="10" spans="1:11" x14ac:dyDescent="0.25">
      <c r="F10" t="str">
        <f ca="1">_xlfn.FORMULATEXT(F11)</f>
        <v>=INDEX(C1:C5,MATCH(F2,A1:A5))</v>
      </c>
      <c r="I10" s="12" t="s">
        <v>3</v>
      </c>
      <c r="J10" s="2"/>
      <c r="K10" s="2"/>
    </row>
    <row r="11" spans="1:11" x14ac:dyDescent="0.25">
      <c r="A11" s="8"/>
      <c r="F11" s="11">
        <f>INDEX(C1:C5,MATCH(F2,A1:A5))</f>
        <v>25</v>
      </c>
      <c r="I11" s="12" t="s">
        <v>9</v>
      </c>
      <c r="J11" s="2"/>
      <c r="K11" s="2"/>
    </row>
    <row r="13" spans="1:11" x14ac:dyDescent="0.25">
      <c r="A13" s="8"/>
      <c r="F13" t="str">
        <f ca="1">_xlfn.FORMULATEXT(F14)</f>
        <v>=XLOOKUP(F2,A2:A5,C2:C5)</v>
      </c>
      <c r="I13" s="17" t="s">
        <v>14</v>
      </c>
      <c r="J13" s="5" t="e">
        <f ca="1">_xlfn.FORMULATEXT(J15)</f>
        <v>#N/A</v>
      </c>
      <c r="K13" s="5" t="e">
        <f ca="1">_xlfn.FORMULATEXT(K15)</f>
        <v>#N/A</v>
      </c>
    </row>
    <row r="14" spans="1:11" x14ac:dyDescent="0.25">
      <c r="A14" s="8"/>
      <c r="F14" s="17">
        <f>_xlfn.XLOOKUP(F2,A2:A5,C2:C5)</f>
        <v>25</v>
      </c>
      <c r="I14" s="10" t="s">
        <v>2</v>
      </c>
      <c r="J14" s="6" t="s">
        <v>12</v>
      </c>
      <c r="K14" s="6" t="s">
        <v>1</v>
      </c>
    </row>
    <row r="15" spans="1:11" x14ac:dyDescent="0.25">
      <c r="I15" s="12" t="s">
        <v>5</v>
      </c>
      <c r="J15" s="4"/>
      <c r="K15" s="4"/>
    </row>
    <row r="16" spans="1:11" x14ac:dyDescent="0.25">
      <c r="I16" s="12" t="s">
        <v>3</v>
      </c>
      <c r="J16" s="2"/>
      <c r="K16" s="2"/>
    </row>
    <row r="17" spans="9:11" x14ac:dyDescent="0.25">
      <c r="I17" s="12" t="s">
        <v>9</v>
      </c>
      <c r="J17" s="2"/>
      <c r="K17" s="2"/>
    </row>
  </sheetData>
  <phoneticPr fontId="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78C9C-2940-4A75-81CC-06F478CF4CA5}">
  <dimension ref="A1:M11"/>
  <sheetViews>
    <sheetView topLeftCell="A11" zoomScale="115" zoomScaleNormal="115" workbookViewId="0">
      <selection activeCell="H11" sqref="H11"/>
    </sheetView>
  </sheetViews>
  <sheetFormatPr defaultRowHeight="15" x14ac:dyDescent="0.25"/>
  <cols>
    <col min="1" max="1" width="11.7109375" customWidth="1"/>
    <col min="2" max="2" width="10.28515625" customWidth="1"/>
    <col min="3" max="3" width="9.5703125" customWidth="1"/>
    <col min="4" max="4" width="10" customWidth="1"/>
    <col min="5" max="5" width="9" customWidth="1"/>
    <col min="6" max="6" width="4.42578125" customWidth="1"/>
    <col min="7" max="7" width="9.28515625" customWidth="1"/>
    <col min="8" max="8" width="20.5703125" customWidth="1"/>
    <col min="9" max="9" width="24.28515625" customWidth="1"/>
    <col min="10" max="10" width="32.7109375" customWidth="1"/>
    <col min="11" max="11" width="12" customWidth="1"/>
  </cols>
  <sheetData>
    <row r="1" spans="1:13" x14ac:dyDescent="0.25">
      <c r="A1" s="12" t="s">
        <v>12</v>
      </c>
      <c r="B1" s="12" t="s">
        <v>28</v>
      </c>
      <c r="C1" s="12" t="s">
        <v>15</v>
      </c>
      <c r="D1" s="20" t="s">
        <v>34</v>
      </c>
      <c r="E1" s="20" t="s">
        <v>35</v>
      </c>
      <c r="F1" s="8"/>
    </row>
    <row r="2" spans="1:13" x14ac:dyDescent="0.25">
      <c r="A2" s="7" t="s">
        <v>37</v>
      </c>
      <c r="B2" s="7" t="s">
        <v>17</v>
      </c>
      <c r="C2" s="28">
        <v>218</v>
      </c>
      <c r="D2" s="21"/>
      <c r="E2" s="21"/>
      <c r="H2" t="s">
        <v>31</v>
      </c>
      <c r="I2" t="s">
        <v>30</v>
      </c>
      <c r="J2" t="s">
        <v>33</v>
      </c>
      <c r="M2" s="7" t="s">
        <v>17</v>
      </c>
    </row>
    <row r="3" spans="1:13" x14ac:dyDescent="0.25">
      <c r="A3" s="7" t="s">
        <v>38</v>
      </c>
      <c r="B3" s="7" t="s">
        <v>17</v>
      </c>
      <c r="C3" s="28">
        <v>405</v>
      </c>
      <c r="D3" s="21"/>
      <c r="E3" s="21"/>
      <c r="H3" s="9" t="s">
        <v>32</v>
      </c>
      <c r="I3" s="18" t="s">
        <v>29</v>
      </c>
      <c r="J3" s="17" t="s">
        <v>36</v>
      </c>
      <c r="M3" s="7" t="s">
        <v>21</v>
      </c>
    </row>
    <row r="4" spans="1:13" x14ac:dyDescent="0.25">
      <c r="A4" s="7" t="s">
        <v>39</v>
      </c>
      <c r="B4" s="7" t="s">
        <v>17</v>
      </c>
      <c r="C4" s="28">
        <v>250</v>
      </c>
      <c r="D4" s="21">
        <f>SUM(C2:C4)</f>
        <v>873</v>
      </c>
      <c r="E4" s="21">
        <f>AVERAGE(C2:C4)</f>
        <v>291</v>
      </c>
      <c r="G4" s="12" t="s">
        <v>28</v>
      </c>
      <c r="H4" s="3" t="str">
        <f ca="1">_xlfn.FORMULATEXT(H5)</f>
        <v>=COUNTIF(B2:B10,G5)</v>
      </c>
      <c r="I4" s="4" t="str">
        <f ca="1">_xlfn.FORMULATEXT(I5)</f>
        <v>=SUMIF(B2:B10,G5,C2:C10)</v>
      </c>
      <c r="J4" s="19" t="str">
        <f ca="1">_xlfn.FORMULATEXT(J5)</f>
        <v>=AVERAGEIF(B2:B10,G5,C2:C10)</v>
      </c>
      <c r="M4" s="7" t="s">
        <v>22</v>
      </c>
    </row>
    <row r="5" spans="1:13" x14ac:dyDescent="0.25">
      <c r="A5" s="7" t="s">
        <v>40</v>
      </c>
      <c r="B5" s="7" t="s">
        <v>21</v>
      </c>
      <c r="C5" s="28">
        <v>309</v>
      </c>
      <c r="D5" s="7"/>
      <c r="E5" s="7"/>
      <c r="G5" s="12" t="s">
        <v>17</v>
      </c>
      <c r="H5" s="15">
        <f>COUNTIF(B2:B10,G5)</f>
        <v>3</v>
      </c>
      <c r="I5" s="16">
        <f>SUMIF(B2:B10,G5,C2:C10)</f>
        <v>873</v>
      </c>
      <c r="J5" s="19">
        <f>AVERAGEIF(B2:B10,G5,C2:C10)</f>
        <v>291</v>
      </c>
    </row>
    <row r="6" spans="1:13" x14ac:dyDescent="0.25">
      <c r="A6" s="7" t="s">
        <v>37</v>
      </c>
      <c r="B6" s="7" t="s">
        <v>21</v>
      </c>
      <c r="C6" s="28">
        <v>405</v>
      </c>
      <c r="D6" s="7"/>
      <c r="E6" s="7"/>
      <c r="G6" s="12" t="s">
        <v>21</v>
      </c>
      <c r="H6" s="14"/>
      <c r="I6" s="7"/>
      <c r="J6" s="2"/>
    </row>
    <row r="7" spans="1:13" x14ac:dyDescent="0.25">
      <c r="A7" s="7" t="s">
        <v>39</v>
      </c>
      <c r="B7" s="7" t="s">
        <v>21</v>
      </c>
      <c r="C7" s="28">
        <v>534</v>
      </c>
      <c r="D7" s="7">
        <f>SUM(C5:C7)</f>
        <v>1248</v>
      </c>
      <c r="E7" s="7">
        <f>AVERAGE(C5:C7)</f>
        <v>416</v>
      </c>
      <c r="G7" s="12" t="s">
        <v>22</v>
      </c>
      <c r="H7" s="14"/>
      <c r="I7" s="7"/>
      <c r="J7" s="2"/>
    </row>
    <row r="8" spans="1:13" x14ac:dyDescent="0.25">
      <c r="A8" s="7" t="s">
        <v>39</v>
      </c>
      <c r="B8" s="7" t="s">
        <v>22</v>
      </c>
      <c r="C8" s="28">
        <v>314</v>
      </c>
      <c r="D8" s="21"/>
      <c r="E8" s="21"/>
      <c r="I8" s="8"/>
    </row>
    <row r="9" spans="1:13" x14ac:dyDescent="0.25">
      <c r="A9" s="7" t="s">
        <v>40</v>
      </c>
      <c r="B9" s="7" t="s">
        <v>22</v>
      </c>
      <c r="C9" s="28">
        <v>405</v>
      </c>
      <c r="D9" s="21"/>
      <c r="E9" s="21"/>
    </row>
    <row r="10" spans="1:13" x14ac:dyDescent="0.25">
      <c r="A10" s="7" t="s">
        <v>39</v>
      </c>
      <c r="B10" s="7" t="s">
        <v>22</v>
      </c>
      <c r="C10" s="28">
        <v>530</v>
      </c>
      <c r="D10" s="21">
        <f>SUM(C8:C10)</f>
        <v>1249</v>
      </c>
      <c r="E10" s="22">
        <f>AVERAGE(C8:C10)</f>
        <v>416.33333333333331</v>
      </c>
    </row>
    <row r="11" spans="1:13" x14ac:dyDescent="0.25">
      <c r="C11" s="13">
        <f>SUM(C2:C10)</f>
        <v>3370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4AF22-191C-4AF2-B5BD-3AC8D82780F7}">
  <dimension ref="A1:I26"/>
  <sheetViews>
    <sheetView tabSelected="1" zoomScale="85" zoomScaleNormal="85" workbookViewId="0">
      <selection activeCell="E7" sqref="E7"/>
    </sheetView>
  </sheetViews>
  <sheetFormatPr defaultRowHeight="15" x14ac:dyDescent="0.25"/>
  <cols>
    <col min="1" max="1" width="16.28515625" customWidth="1"/>
    <col min="4" max="4" width="7.28515625" customWidth="1"/>
    <col min="5" max="5" width="14.7109375" customWidth="1"/>
    <col min="6" max="6" width="13.140625" bestFit="1" customWidth="1"/>
    <col min="7" max="7" width="12" bestFit="1" customWidth="1"/>
    <col min="8" max="8" width="16.5703125" bestFit="1" customWidth="1"/>
    <col min="9" max="9" width="14.5703125" bestFit="1" customWidth="1"/>
    <col min="10" max="10" width="3.85546875" customWidth="1"/>
    <col min="11" max="11" width="13.140625" bestFit="1" customWidth="1"/>
    <col min="12" max="12" width="12" bestFit="1" customWidth="1"/>
    <col min="13" max="13" width="7.140625" customWidth="1"/>
    <col min="14" max="14" width="13.140625" bestFit="1" customWidth="1"/>
    <col min="15" max="15" width="14.5703125" bestFit="1" customWidth="1"/>
    <col min="16" max="16" width="14.140625" bestFit="1" customWidth="1"/>
  </cols>
  <sheetData>
    <row r="1" spans="1:3" x14ac:dyDescent="0.25">
      <c r="A1" s="12" t="s">
        <v>12</v>
      </c>
      <c r="B1" s="12" t="s">
        <v>28</v>
      </c>
      <c r="C1" s="12" t="s">
        <v>15</v>
      </c>
    </row>
    <row r="2" spans="1:3" x14ac:dyDescent="0.25">
      <c r="A2" s="7" t="s">
        <v>37</v>
      </c>
      <c r="B2" s="7" t="s">
        <v>17</v>
      </c>
      <c r="C2" s="7">
        <v>218</v>
      </c>
    </row>
    <row r="3" spans="1:3" x14ac:dyDescent="0.25">
      <c r="A3" s="7" t="s">
        <v>38</v>
      </c>
      <c r="B3" s="7" t="s">
        <v>17</v>
      </c>
      <c r="C3" s="7">
        <v>405</v>
      </c>
    </row>
    <row r="4" spans="1:3" x14ac:dyDescent="0.25">
      <c r="A4" s="7" t="s">
        <v>39</v>
      </c>
      <c r="B4" s="7" t="s">
        <v>17</v>
      </c>
      <c r="C4" s="7">
        <v>250</v>
      </c>
    </row>
    <row r="5" spans="1:3" x14ac:dyDescent="0.25">
      <c r="A5" s="7" t="s">
        <v>40</v>
      </c>
      <c r="B5" s="7" t="s">
        <v>21</v>
      </c>
      <c r="C5" s="7">
        <v>309</v>
      </c>
    </row>
    <row r="6" spans="1:3" x14ac:dyDescent="0.25">
      <c r="A6" s="7" t="s">
        <v>37</v>
      </c>
      <c r="B6" s="7" t="s">
        <v>21</v>
      </c>
      <c r="C6" s="7">
        <v>405</v>
      </c>
    </row>
    <row r="7" spans="1:3" x14ac:dyDescent="0.25">
      <c r="A7" s="7" t="s">
        <v>39</v>
      </c>
      <c r="B7" s="7" t="s">
        <v>21</v>
      </c>
      <c r="C7" s="7">
        <v>534</v>
      </c>
    </row>
    <row r="8" spans="1:3" x14ac:dyDescent="0.25">
      <c r="A8" s="7" t="s">
        <v>39</v>
      </c>
      <c r="B8" s="7" t="s">
        <v>22</v>
      </c>
      <c r="C8" s="7">
        <v>314</v>
      </c>
    </row>
    <row r="9" spans="1:3" x14ac:dyDescent="0.25">
      <c r="A9" s="7" t="s">
        <v>40</v>
      </c>
      <c r="B9" s="7" t="s">
        <v>22</v>
      </c>
      <c r="C9" s="7">
        <v>405</v>
      </c>
    </row>
    <row r="10" spans="1:3" x14ac:dyDescent="0.25">
      <c r="A10" s="7" t="s">
        <v>39</v>
      </c>
      <c r="B10" s="7" t="s">
        <v>22</v>
      </c>
      <c r="C10" s="7">
        <v>530</v>
      </c>
    </row>
    <row r="26" spans="9:9" x14ac:dyDescent="0.25">
      <c r="I26" t="s">
        <v>43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2A46C-9E3D-42CC-9D8C-3D8FAAC4EDD8}">
  <dimension ref="A1:C12"/>
  <sheetViews>
    <sheetView workbookViewId="0">
      <selection activeCell="F20" sqref="F20"/>
    </sheetView>
  </sheetViews>
  <sheetFormatPr defaultRowHeight="15" x14ac:dyDescent="0.25"/>
  <cols>
    <col min="1" max="1" width="11.85546875" customWidth="1"/>
  </cols>
  <sheetData>
    <row r="1" spans="1:3" x14ac:dyDescent="0.25">
      <c r="A1" t="s">
        <v>12</v>
      </c>
      <c r="B1" t="s">
        <v>28</v>
      </c>
      <c r="C1" t="s">
        <v>15</v>
      </c>
    </row>
    <row r="2" spans="1:3" x14ac:dyDescent="0.25">
      <c r="A2" t="s">
        <v>16</v>
      </c>
      <c r="B2" t="s">
        <v>17</v>
      </c>
      <c r="C2">
        <v>318</v>
      </c>
    </row>
    <row r="3" spans="1:3" x14ac:dyDescent="0.25">
      <c r="A3" t="s">
        <v>18</v>
      </c>
      <c r="B3" t="s">
        <v>17</v>
      </c>
      <c r="C3">
        <v>405</v>
      </c>
    </row>
    <row r="4" spans="1:3" x14ac:dyDescent="0.25">
      <c r="A4" t="s">
        <v>19</v>
      </c>
      <c r="B4" t="s">
        <v>17</v>
      </c>
      <c r="C4">
        <v>525</v>
      </c>
    </row>
    <row r="5" spans="1:3" x14ac:dyDescent="0.25">
      <c r="A5" t="s">
        <v>23</v>
      </c>
      <c r="B5" t="s">
        <v>21</v>
      </c>
      <c r="C5">
        <v>309</v>
      </c>
    </row>
    <row r="6" spans="1:3" x14ac:dyDescent="0.25">
      <c r="A6" t="s">
        <v>20</v>
      </c>
      <c r="B6" t="s">
        <v>21</v>
      </c>
      <c r="C6">
        <v>405</v>
      </c>
    </row>
    <row r="7" spans="1:3" x14ac:dyDescent="0.25">
      <c r="A7" t="s">
        <v>24</v>
      </c>
      <c r="B7" t="s">
        <v>21</v>
      </c>
      <c r="C7">
        <v>534</v>
      </c>
    </row>
    <row r="8" spans="1:3" x14ac:dyDescent="0.25">
      <c r="A8" t="s">
        <v>25</v>
      </c>
      <c r="B8" t="s">
        <v>22</v>
      </c>
      <c r="C8">
        <v>314</v>
      </c>
    </row>
    <row r="9" spans="1:3" x14ac:dyDescent="0.25">
      <c r="A9" t="s">
        <v>26</v>
      </c>
      <c r="B9" t="s">
        <v>22</v>
      </c>
      <c r="C9">
        <v>405</v>
      </c>
    </row>
    <row r="10" spans="1:3" x14ac:dyDescent="0.25">
      <c r="A10" t="s">
        <v>27</v>
      </c>
      <c r="B10" t="s">
        <v>22</v>
      </c>
      <c r="C10">
        <v>530</v>
      </c>
    </row>
    <row r="11" spans="1:3" x14ac:dyDescent="0.25">
      <c r="A11" t="s">
        <v>16</v>
      </c>
      <c r="B11" t="s">
        <v>17</v>
      </c>
      <c r="C11">
        <v>318</v>
      </c>
    </row>
    <row r="12" spans="1:3" x14ac:dyDescent="0.25">
      <c r="A12" t="s">
        <v>16</v>
      </c>
      <c r="B12" t="s">
        <v>17</v>
      </c>
      <c r="C12">
        <v>318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BC3B51-552C-4822-BD4F-9D9D17040A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Lookup Sample</vt:lpstr>
      <vt:lpstr>SUMIF</vt:lpstr>
      <vt:lpstr>Pivot</vt:lpstr>
      <vt:lpstr>Dta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Chalermchon Visayadamrong</cp:lastModifiedBy>
  <dcterms:created xsi:type="dcterms:W3CDTF">2026-03-13T02:38:10Z</dcterms:created>
  <dcterms:modified xsi:type="dcterms:W3CDTF">2026-03-13T07:19:25Z</dcterms:modified>
</cp:coreProperties>
</file>