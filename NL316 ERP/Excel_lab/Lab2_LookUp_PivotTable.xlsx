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E:\All_Teaching\A_Subjects\ERP\Excel Lab\"/>
    </mc:Choice>
  </mc:AlternateContent>
  <xr:revisionPtr revIDLastSave="0" documentId="13_ncr:1_{0DEFB41E-1DB4-49D2-8FC1-242F6E215265}" xr6:coauthVersionLast="47" xr6:coauthVersionMax="47" xr10:uidLastSave="{00000000-0000-0000-0000-000000000000}"/>
  <bookViews>
    <workbookView xWindow="-120" yWindow="-120" windowWidth="19440" windowHeight="11520" xr2:uid="{00000000-000D-0000-FFFF-FFFF00000000}"/>
  </bookViews>
  <sheets>
    <sheet name="Lookup Sample" sheetId="1" r:id="rId1"/>
    <sheet name="SUMIF" sheetId="2" r:id="rId2"/>
    <sheet name="Pivot" sheetId="5" r:id="rId3"/>
    <sheet name="Dta" sheetId="11" r:id="rId4"/>
  </sheets>
  <definedNames>
    <definedName name="Slicer_Name">#N/A</definedName>
    <definedName name="Slicer_Type">#N/A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 i="1" l="1"/>
  <c r="F4" i="1"/>
  <c r="F6" i="1" a="1"/>
  <c r="F6" i="1" s="1"/>
  <c r="F11" i="1"/>
  <c r="F14" i="1"/>
  <c r="E10" i="2"/>
  <c r="E7" i="2"/>
  <c r="E4" i="2"/>
  <c r="D10" i="2"/>
  <c r="D7" i="2"/>
  <c r="D4" i="2"/>
  <c r="I5" i="2"/>
  <c r="H5" i="2"/>
  <c r="J5" i="2"/>
  <c r="C11" i="2"/>
  <c r="F5" i="1"/>
  <c r="F10" i="1"/>
  <c r="H4" i="2"/>
  <c r="I4" i="2"/>
  <c r="K13" i="1"/>
  <c r="F13" i="1"/>
  <c r="F3" i="1"/>
  <c r="J13" i="1"/>
  <c r="J1" i="1"/>
  <c r="J4" i="2"/>
  <c r="F8"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<sst xmlns="http://schemas.openxmlformats.org/spreadsheetml/2006/main" count="137" uniqueCount="49">
  <si>
    <t>ProductID</t>
  </si>
  <si>
    <t>Price</t>
  </si>
  <si>
    <t>Lookup Value</t>
  </si>
  <si>
    <t>A101</t>
  </si>
  <si>
    <t>Pen</t>
  </si>
  <si>
    <t>A103</t>
  </si>
  <si>
    <t>A102</t>
  </si>
  <si>
    <t>Pencil</t>
  </si>
  <si>
    <t>Notebook</t>
  </si>
  <si>
    <t>A104</t>
  </si>
  <si>
    <t>Eraser</t>
  </si>
  <si>
    <t>VLOOKUP { Name (2), Price(3) }</t>
  </si>
  <si>
    <t>Name</t>
  </si>
  <si>
    <t>VlookUp</t>
  </si>
  <si>
    <t>XLookUp</t>
  </si>
  <si>
    <t>Total</t>
  </si>
  <si>
    <t>Bulbasaur</t>
  </si>
  <si>
    <t>Grass</t>
  </si>
  <si>
    <t>Ivysaur</t>
  </si>
  <si>
    <t>Venusaur</t>
  </si>
  <si>
    <t>Charmeleon Fire</t>
  </si>
  <si>
    <t>Fire</t>
  </si>
  <si>
    <t>Water</t>
  </si>
  <si>
    <t>Charmander</t>
  </si>
  <si>
    <t>Charizard</t>
  </si>
  <si>
    <t>Squirtle</t>
  </si>
  <si>
    <t>Wartortle</t>
  </si>
  <si>
    <t>Blastoise</t>
  </si>
  <si>
    <t>Type</t>
  </si>
  <si>
    <t>Sum Total</t>
  </si>
  <si>
    <t>SUMIF</t>
  </si>
  <si>
    <t>CountIF</t>
  </si>
  <si>
    <t>Count</t>
  </si>
  <si>
    <t>AVERAGEIF</t>
  </si>
  <si>
    <t>Type Total</t>
  </si>
  <si>
    <t>Type Avg</t>
  </si>
  <si>
    <t>Avg Total</t>
  </si>
  <si>
    <t>Row Labels</t>
  </si>
  <si>
    <t>Grand Total</t>
  </si>
  <si>
    <t>Sum of Total</t>
  </si>
  <si>
    <t>Average of Total2</t>
  </si>
  <si>
    <t>Count of Total3</t>
  </si>
  <si>
    <t>สมชาย</t>
  </si>
  <si>
    <t>สมหญิง</t>
  </si>
  <si>
    <t>รักไทย</t>
  </si>
  <si>
    <t>เพื่อนรัก</t>
  </si>
  <si>
    <t>QTY</t>
  </si>
  <si>
    <t>INDEX+MATCH</t>
  </si>
  <si>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</sst>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8"/>
      <name val="Calibri"/>
      <family val="2"/>
      <scheme val="minor"/>
    </font>
    <font>
      <sz val="11"/>
      <color rgb="FFFF0000"/>
      <name val="Calibri"/>
      <family val="2"/>
      <scheme val="minor"/>
    </font>
    <font>
      <sz val="11"/>
      <name val="Calibri"/>
      <family val="2"/>
      <scheme val="minor"/>
    </font>
    <font>
      <sz val="11"/>
      <color rgb="FF0070C0"/>
      <name val="Calibri"/>
      <family val="2"/>
      <scheme val="minor"/>
    </font>
  </fonts>
  <fills count="8">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6" tint="0.79998168889431442"/>
        <bgColor indexed="64"/>
      </patternFill>
    </fill>
    <fill>
      <patternFill patternType="solid">
        <fgColor theme="0"/>
        <bgColor indexed="64"/>
      </patternFill>
    </fill>
    <fill>
      <patternFill patternType="solid">
        <fgColor theme="8"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31">
    <xf numFmtId="0" fontId="0" fillId="0" borderId="0" xfId="0"/>
    <xf numFmtId="0" fontId="2" fillId="0" borderId="0" xfId="0" applyFont="1"/>
    <xf numFmtId="0" fontId="0" fillId="0" borderId="1" xfId="0" applyBorder="1"/>
    <xf numFmtId="0" fontId="0" fillId="2" borderId="1" xfId="0" applyFill="1" applyBorder="1"/>
    <xf numFmtId="0" fontId="0" fillId="3" borderId="1" xfId="0" applyFill="1" applyBorder="1"/>
    <xf numFmtId="0" fontId="2" fillId="0" borderId="1" xfId="0" applyFont="1" applyBorder="1"/>
    <xf numFmtId="0" fontId="3" fillId="4" borderId="1" xfId="0" applyFont="1" applyFill="1" applyBorder="1"/>
    <xf numFmtId="0" fontId="0" fillId="0" borderId="1" xfId="0" applyBorder="1" applyAlignment="1">
      <alignment horizontal="center"/>
    </xf>
    <xf numFmtId="0" fontId="0" fillId="0" borderId="0" xfId="0" applyAlignment="1">
      <alignment horizontal="center"/>
    </xf>
    <xf numFmtId="0" fontId="0" fillId="2" borderId="2" xfId="0" applyFill="1" applyBorder="1" applyAlignment="1">
      <alignment horizontal="center"/>
    </xf>
    <xf numFmtId="0" fontId="3" fillId="4" borderId="1" xfId="0" applyFont="1" applyFill="1" applyBorder="1" applyAlignment="1">
      <alignment horizontal="center"/>
    </xf>
    <xf numFmtId="0" fontId="0" fillId="3" borderId="0" xfId="0" applyFill="1" applyAlignment="1">
      <alignment horizontal="center"/>
    </xf>
    <xf numFmtId="0" fontId="0" fillId="5" borderId="1" xfId="0" applyFill="1" applyBorder="1" applyAlignment="1">
      <alignment horizontal="center"/>
    </xf>
    <xf numFmtId="0" fontId="3" fillId="0" borderId="0" xfId="0" applyFont="1" applyAlignment="1">
      <alignment horizontal="center"/>
    </xf>
    <xf numFmtId="0" fontId="0" fillId="6" borderId="1" xfId="0" applyFill="1" applyBorder="1" applyAlignment="1">
      <alignment horizontal="center"/>
    </xf>
    <xf numFmtId="0" fontId="0" fillId="2" borderId="1" xfId="0" applyFill="1" applyBorder="1" applyAlignment="1">
      <alignment horizontal="center"/>
    </xf>
    <xf numFmtId="0" fontId="0" fillId="3" borderId="1" xfId="0" applyFill="1" applyBorder="1" applyAlignment="1">
      <alignment horizontal="center"/>
    </xf>
    <xf numFmtId="0" fontId="0" fillId="7" borderId="0" xfId="0" applyFill="1" applyAlignment="1">
      <alignment horizontal="center"/>
    </xf>
    <xf numFmtId="0" fontId="0" fillId="3" borderId="2" xfId="0" applyFill="1" applyBorder="1" applyAlignment="1">
      <alignment horizontal="center"/>
    </xf>
    <xf numFmtId="0" fontId="0" fillId="7" borderId="1" xfId="0" applyFill="1" applyBorder="1"/>
    <xf numFmtId="0" fontId="0" fillId="5" borderId="3" xfId="0" applyFill="1" applyBorder="1" applyAlignment="1">
      <alignment horizontal="center"/>
    </xf>
    <xf numFmtId="0" fontId="0" fillId="4" borderId="1" xfId="0" applyFill="1" applyBorder="1" applyAlignment="1">
      <alignment horizontal="center"/>
    </xf>
    <xf numFmtId="2" fontId="0" fillId="4" borderId="1" xfId="0" applyNumberFormat="1" applyFill="1" applyBorder="1" applyAlignment="1">
      <alignment horizontal="center"/>
    </xf>
    <xf numFmtId="0" fontId="0" fillId="0" borderId="0" xfId="0" pivotButton="1"/>
    <xf numFmtId="0" fontId="0" fillId="0" borderId="0" xfId="0" applyAlignment="1">
      <alignment horizontal="left"/>
    </xf>
    <xf numFmtId="0" fontId="2" fillId="4" borderId="0" xfId="0" applyFont="1" applyFill="1" applyAlignment="1">
      <alignment horizontal="center"/>
    </xf>
    <xf numFmtId="0" fontId="0" fillId="2" borderId="0" xfId="0" applyFill="1" applyAlignment="1">
      <alignment horizontal="center"/>
    </xf>
    <xf numFmtId="0" fontId="4" fillId="2" borderId="4" xfId="0" applyFont="1" applyFill="1" applyBorder="1"/>
    <xf numFmtId="0" fontId="4" fillId="0" borderId="5" xfId="0" applyFont="1" applyBorder="1" applyAlignment="1">
      <alignment horizontal="center"/>
    </xf>
    <xf numFmtId="0" fontId="3" fillId="3" borderId="1" xfId="0" applyFont="1" applyFill="1" applyBorder="1" applyAlignment="1">
      <alignment horizontal="left"/>
    </xf>
    <xf numFmtId="1" fontId="0" fillId="0" borderId="1" xfId="0" applyNumberFormat="1" applyBorder="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eetMetadata" Target="metadata.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[LookUpValue.xlsx]Pivot!PivotTable9</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Pivot!$G$1</c:f>
              <c:strCache>
                <c:ptCount val="1"/>
                <c:pt idx="0">
                  <c:v>Sum of 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A390-43CA-B4F7-D3F422C763C9}"/>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A390-43CA-B4F7-D3F422C763C9}"/>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A390-43CA-B4F7-D3F422C763C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Pivot!$F$2:$F$5</c:f>
              <c:strCache>
                <c:ptCount val="3"/>
                <c:pt idx="0">
                  <c:v>Fire</c:v>
                </c:pt>
                <c:pt idx="1">
                  <c:v>Grass</c:v>
                </c:pt>
                <c:pt idx="2">
                  <c:v>Water</c:v>
                </c:pt>
              </c:strCache>
            </c:strRef>
          </c:cat>
          <c:val>
            <c:numRef>
              <c:f>Pivot!$G$2:$G$5</c:f>
              <c:numCache>
                <c:formatCode>General</c:formatCode>
                <c:ptCount val="3"/>
                <c:pt idx="0">
                  <c:v>1248</c:v>
                </c:pt>
                <c:pt idx="1">
                  <c:v>873</c:v>
                </c:pt>
                <c:pt idx="2">
                  <c:v>1249</c:v>
                </c:pt>
              </c:numCache>
            </c:numRef>
          </c:val>
          <c:extLst>
            <c:ext xmlns:c16="http://schemas.microsoft.com/office/drawing/2014/chart" uri="{C3380CC4-5D6E-409C-BE32-E72D297353CC}">
              <c16:uniqueId val="{00000000-613E-4566-9598-1712A9291533}"/>
            </c:ext>
          </c:extLst>
        </c:ser>
        <c:ser>
          <c:idx val="1"/>
          <c:order val="1"/>
          <c:tx>
            <c:strRef>
              <c:f>Pivot!$H$1</c:f>
              <c:strCache>
                <c:ptCount val="1"/>
                <c:pt idx="0">
                  <c:v>Average of Total2</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7-A390-43CA-B4F7-D3F422C763C9}"/>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9-A390-43CA-B4F7-D3F422C763C9}"/>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B-A390-43CA-B4F7-D3F422C763C9}"/>
              </c:ext>
            </c:extLst>
          </c:dPt>
          <c:cat>
            <c:strRef>
              <c:f>Pivot!$F$2:$F$5</c:f>
              <c:strCache>
                <c:ptCount val="3"/>
                <c:pt idx="0">
                  <c:v>Fire</c:v>
                </c:pt>
                <c:pt idx="1">
                  <c:v>Grass</c:v>
                </c:pt>
                <c:pt idx="2">
                  <c:v>Water</c:v>
                </c:pt>
              </c:strCache>
            </c:strRef>
          </c:cat>
          <c:val>
            <c:numRef>
              <c:f>Pivot!$H$2:$H$5</c:f>
              <c:numCache>
                <c:formatCode>General</c:formatCode>
                <c:ptCount val="3"/>
                <c:pt idx="0">
                  <c:v>416</c:v>
                </c:pt>
                <c:pt idx="1">
                  <c:v>291</c:v>
                </c:pt>
                <c:pt idx="2">
                  <c:v>416.33333333333331</c:v>
                </c:pt>
              </c:numCache>
            </c:numRef>
          </c:val>
          <c:extLst>
            <c:ext xmlns:c16="http://schemas.microsoft.com/office/drawing/2014/chart" uri="{C3380CC4-5D6E-409C-BE32-E72D297353CC}">
              <c16:uniqueId val="{00000001-613E-4566-9598-1712A9291533}"/>
            </c:ext>
          </c:extLst>
        </c:ser>
        <c:ser>
          <c:idx val="2"/>
          <c:order val="2"/>
          <c:tx>
            <c:strRef>
              <c:f>Pivot!$I$1</c:f>
              <c:strCache>
                <c:ptCount val="1"/>
                <c:pt idx="0">
                  <c:v>Count of Total3</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D-A390-43CA-B4F7-D3F422C763C9}"/>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F-A390-43CA-B4F7-D3F422C763C9}"/>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11-A390-43CA-B4F7-D3F422C763C9}"/>
              </c:ext>
            </c:extLst>
          </c:dPt>
          <c:cat>
            <c:strRef>
              <c:f>Pivot!$F$2:$F$5</c:f>
              <c:strCache>
                <c:ptCount val="3"/>
                <c:pt idx="0">
                  <c:v>Fire</c:v>
                </c:pt>
                <c:pt idx="1">
                  <c:v>Grass</c:v>
                </c:pt>
                <c:pt idx="2">
                  <c:v>Water</c:v>
                </c:pt>
              </c:strCache>
            </c:strRef>
          </c:cat>
          <c:val>
            <c:numRef>
              <c:f>Pivot!$I$2:$I$5</c:f>
              <c:numCache>
                <c:formatCode>General</c:formatCode>
                <c:ptCount val="3"/>
                <c:pt idx="0">
                  <c:v>3</c:v>
                </c:pt>
                <c:pt idx="1">
                  <c:v>3</c:v>
                </c:pt>
                <c:pt idx="2">
                  <c:v>3</c:v>
                </c:pt>
              </c:numCache>
            </c:numRef>
          </c:val>
          <c:extLst>
            <c:ext xmlns:c16="http://schemas.microsoft.com/office/drawing/2014/chart" uri="{C3380CC4-5D6E-409C-BE32-E72D297353CC}">
              <c16:uniqueId val="{00000002-613E-4566-9598-1712A9291533}"/>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[LookUpValue.xlsx]Pivot!PivotTable11</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Pivot!$L$1</c:f>
              <c:strCache>
                <c:ptCount val="1"/>
                <c:pt idx="0">
                  <c:v>Total</c:v>
                </c:pt>
              </c:strCache>
            </c:strRef>
          </c:tx>
          <c:spPr>
            <a:solidFill>
              <a:schemeClr val="accent1"/>
            </a:solidFill>
            <a:ln>
              <a:noFill/>
            </a:ln>
            <a:effectLst/>
          </c:spPr>
          <c:invertIfNegative val="0"/>
          <c:cat>
            <c:strRef>
              <c:f>Pivot!$K$2:$K$5</c:f>
              <c:strCache>
                <c:ptCount val="3"/>
                <c:pt idx="0">
                  <c:v>Fire</c:v>
                </c:pt>
                <c:pt idx="1">
                  <c:v>Grass</c:v>
                </c:pt>
                <c:pt idx="2">
                  <c:v>Water</c:v>
                </c:pt>
              </c:strCache>
            </c:strRef>
          </c:cat>
          <c:val>
            <c:numRef>
              <c:f>Pivot!$L$2:$L$5</c:f>
              <c:numCache>
                <c:formatCode>General</c:formatCode>
                <c:ptCount val="3"/>
                <c:pt idx="0">
                  <c:v>1248</c:v>
                </c:pt>
                <c:pt idx="1">
                  <c:v>873</c:v>
                </c:pt>
                <c:pt idx="2">
                  <c:v>1249</c:v>
                </c:pt>
              </c:numCache>
            </c:numRef>
          </c:val>
          <c:extLst>
            <c:ext xmlns:c16="http://schemas.microsoft.com/office/drawing/2014/chart" uri="{C3380CC4-5D6E-409C-BE32-E72D297353CC}">
              <c16:uniqueId val="{00000000-FB51-492F-A2C5-8220DAC82E51}"/>
            </c:ext>
          </c:extLst>
        </c:ser>
        <c:dLbls>
          <c:showLegendKey val="0"/>
          <c:showVal val="0"/>
          <c:showCatName val="0"/>
          <c:showSerName val="0"/>
          <c:showPercent val="0"/>
          <c:showBubbleSize val="0"/>
        </c:dLbls>
        <c:gapWidth val="219"/>
        <c:overlap val="-27"/>
        <c:axId val="64185647"/>
        <c:axId val="64186007"/>
      </c:barChart>
      <c:catAx>
        <c:axId val="641856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6007"/>
        <c:crosses val="autoZero"/>
        <c:auto val="1"/>
        <c:lblAlgn val="ctr"/>
        <c:lblOffset val="100"/>
        <c:noMultiLvlLbl val="0"/>
      </c:catAx>
      <c:valAx>
        <c:axId val="64186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56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[LookUpValue.xlsx]Pivot!PivotTable12</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Pivot!$O$1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Pivot!$N$2:$N$5</c:f>
              <c:strCache>
                <c:ptCount val="3"/>
                <c:pt idx="0">
                  <c:v>Fire</c:v>
                </c:pt>
                <c:pt idx="1">
                  <c:v>Grass</c:v>
                </c:pt>
                <c:pt idx="2">
                  <c:v>Water</c:v>
                </c:pt>
              </c:strCache>
            </c:strRef>
          </c:cat>
          <c:val>
            <c:numRef>
              <c:f>Pivot!$O$2:$O$5</c:f>
              <c:numCache>
                <c:formatCode>General</c:formatCode>
                <c:ptCount val="3"/>
                <c:pt idx="0">
                  <c:v>3</c:v>
                </c:pt>
                <c:pt idx="1">
                  <c:v>3</c:v>
                </c:pt>
                <c:pt idx="2">
                  <c:v>3</c:v>
                </c:pt>
              </c:numCache>
            </c:numRef>
          </c:val>
          <c:extLst>
            <c:ext xmlns:c16="http://schemas.microsoft.com/office/drawing/2014/chart" uri="{C3380CC4-5D6E-409C-BE32-E72D297353CC}">
              <c16:uniqueId val="{00000000-59D5-4957-BD78-627260E8C10D}"/>
            </c:ext>
          </c:extLst>
        </c:ser>
        <c:dLbls>
          <c:showLegendKey val="0"/>
          <c:showVal val="0"/>
          <c:showCatName val="0"/>
          <c:showSerName val="0"/>
          <c:showPercent val="0"/>
          <c:showBubbleSize val="0"/>
        </c:dLbls>
        <c:gapWidth val="219"/>
        <c:overlap val="-27"/>
        <c:axId val="15782775"/>
        <c:axId val="15783495"/>
      </c:barChart>
      <c:catAx>
        <c:axId val="157827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83495"/>
        <c:crosses val="autoZero"/>
        <c:auto val="1"/>
        <c:lblAlgn val="ctr"/>
        <c:lblOffset val="100"/>
        <c:noMultiLvlLbl val="0"/>
      </c:catAx>
      <c:valAx>
        <c:axId val="157834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827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4.png"/><Relationship Id="rId5" Type="http://schemas.openxmlformats.org/officeDocument/2006/relationships/image" Target="../media/image5.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153865</xdr:colOff>
      <xdr:row>14</xdr:row>
      <xdr:rowOff>124557</xdr:rowOff>
    </xdr:from>
    <xdr:to>
      <xdr:col>5</xdr:col>
      <xdr:colOff>612177</xdr:colOff>
      <xdr:row>33</xdr:row>
      <xdr:rowOff>10746</xdr:rowOff>
    </xdr:to>
    <xdr:pic>
      <xdr:nvPicPr>
        <xdr:cNvPr id="3" name="Picture 2">
          <a:extLst>
            <a:ext uri="{FF2B5EF4-FFF2-40B4-BE49-F238E27FC236}">
              <a16:creationId xmlns:a16="http://schemas.microsoft.com/office/drawing/2014/main" id="{8A67946F-C129-111C-C6FB-4A253621EE2E}"/>
            </a:ext>
          </a:extLst>
        </xdr:cNvPr>
        <xdr:cNvPicPr>
          <a:picLocks noChangeAspect="1"/>
        </xdr:cNvPicPr>
      </xdr:nvPicPr>
      <xdr:blipFill>
        <a:blip xmlns:r="http://schemas.openxmlformats.org/officeDocument/2006/relationships" r:embed="rId1"/>
        <a:stretch>
          <a:fillRect/>
        </a:stretch>
      </xdr:blipFill>
      <xdr:spPr>
        <a:xfrm>
          <a:off x="153865" y="2747595"/>
          <a:ext cx="2715004" cy="350568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13</xdr:col>
      <xdr:colOff>175260</xdr:colOff>
      <xdr:row>0</xdr:row>
      <xdr:rowOff>144780</xdr:rowOff>
    </xdr:from>
    <xdr:to>
      <xdr:col>14</xdr:col>
      <xdr:colOff>347900</xdr:colOff>
      <xdr:row>3</xdr:row>
      <xdr:rowOff>152400</xdr:rowOff>
    </xdr:to>
    <xdr:pic>
      <xdr:nvPicPr>
        <xdr:cNvPr id="2" name="Picture 1">
          <a:extLst>
            <a:ext uri="{FF2B5EF4-FFF2-40B4-BE49-F238E27FC236}">
              <a16:creationId xmlns:a16="http://schemas.microsoft.com/office/drawing/2014/main" id="{B3A73434-25EC-527B-84C0-E9636F8CE3FB}"/>
            </a:ext>
          </a:extLst>
        </xdr:cNvPr>
        <xdr:cNvPicPr>
          <a:picLocks noChangeAspect="1"/>
        </xdr:cNvPicPr>
      </xdr:nvPicPr>
      <xdr:blipFill>
        <a:blip xmlns:r="http://schemas.openxmlformats.org/officeDocument/2006/relationships" r:embed="rId1"/>
        <a:stretch>
          <a:fillRect/>
        </a:stretch>
      </xdr:blipFill>
      <xdr:spPr>
        <a:xfrm>
          <a:off x="8519160" y="144780"/>
          <a:ext cx="782240" cy="556260"/>
        </a:xfrm>
        <a:prstGeom prst="rect">
          <a:avLst/>
        </a:prstGeom>
      </xdr:spPr>
    </xdr:pic>
    <xdr:clientData/>
  </xdr:twoCellAnchor>
  <xdr:twoCellAnchor editAs="oneCell">
    <xdr:from>
      <xdr:col>1</xdr:col>
      <xdr:colOff>0</xdr:colOff>
      <xdr:row>17</xdr:row>
      <xdr:rowOff>0</xdr:rowOff>
    </xdr:from>
    <xdr:to>
      <xdr:col>9</xdr:col>
      <xdr:colOff>301195</xdr:colOff>
      <xdr:row>24</xdr:row>
      <xdr:rowOff>57344</xdr:rowOff>
    </xdr:to>
    <xdr:pic>
      <xdr:nvPicPr>
        <xdr:cNvPr id="3" name="Picture 2">
          <a:extLst>
            <a:ext uri="{FF2B5EF4-FFF2-40B4-BE49-F238E27FC236}">
              <a16:creationId xmlns:a16="http://schemas.microsoft.com/office/drawing/2014/main" id="{423C4412-A566-3736-706A-F97D9D44E588}"/>
            </a:ext>
          </a:extLst>
        </xdr:cNvPr>
        <xdr:cNvPicPr>
          <a:picLocks noChangeAspect="1"/>
        </xdr:cNvPicPr>
      </xdr:nvPicPr>
      <xdr:blipFill>
        <a:blip xmlns:r="http://schemas.openxmlformats.org/officeDocument/2006/relationships" r:embed="rId2"/>
        <a:stretch>
          <a:fillRect/>
        </a:stretch>
      </xdr:blipFill>
      <xdr:spPr>
        <a:xfrm>
          <a:off x="778565" y="3238500"/>
          <a:ext cx="6811326" cy="13908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27</xdr:row>
      <xdr:rowOff>0</xdr:rowOff>
    </xdr:from>
    <xdr:to>
      <xdr:col>11</xdr:col>
      <xdr:colOff>464064</xdr:colOff>
      <xdr:row>45</xdr:row>
      <xdr:rowOff>80481</xdr:rowOff>
    </xdr:to>
    <xdr:pic>
      <xdr:nvPicPr>
        <xdr:cNvPr id="5" name="Picture 4">
          <a:extLst>
            <a:ext uri="{FF2B5EF4-FFF2-40B4-BE49-F238E27FC236}">
              <a16:creationId xmlns:a16="http://schemas.microsoft.com/office/drawing/2014/main" id="{4938B2D9-DE1D-E1BE-433F-B83A8F241E3C}"/>
            </a:ext>
          </a:extLst>
        </xdr:cNvPr>
        <xdr:cNvPicPr>
          <a:picLocks noChangeAspect="1"/>
        </xdr:cNvPicPr>
      </xdr:nvPicPr>
      <xdr:blipFill>
        <a:blip xmlns:r="http://schemas.openxmlformats.org/officeDocument/2006/relationships" r:embed="rId1"/>
        <a:stretch>
          <a:fillRect/>
        </a:stretch>
      </xdr:blipFill>
      <xdr:spPr>
        <a:xfrm>
          <a:off x="1120140" y="4937760"/>
          <a:ext cx="8230749" cy="3372321"/>
        </a:xfrm>
        <a:prstGeom prst="rect">
          <a:avLst/>
        </a:prstGeom>
      </xdr:spPr>
    </xdr:pic>
    <xdr:clientData/>
  </xdr:twoCellAnchor>
  <xdr:twoCellAnchor>
    <xdr:from>
      <xdr:col>5</xdr:col>
      <xdr:colOff>15240</xdr:colOff>
      <xdr:row>5</xdr:row>
      <xdr:rowOff>99060</xdr:rowOff>
    </xdr:from>
    <xdr:to>
      <xdr:col>8</xdr:col>
      <xdr:colOff>510540</xdr:colOff>
      <xdr:row>17</xdr:row>
      <xdr:rowOff>22860</xdr:rowOff>
    </xdr:to>
    <xdr:graphicFrame macro="">
      <xdr:nvGraphicFramePr>
        <xdr:cNvPr id="7" name="Chart 6">
          <a:extLst>
            <a:ext uri="{FF2B5EF4-FFF2-40B4-BE49-F238E27FC236}">
              <a16:creationId xmlns:a16="http://schemas.microsoft.com/office/drawing/2014/main" id="{9CD0FCE7-66D9-0A2D-AFE0-5AA0318D0C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137160</xdr:colOff>
      <xdr:row>0</xdr:row>
      <xdr:rowOff>53341</xdr:rowOff>
    </xdr:from>
    <xdr:to>
      <xdr:col>4</xdr:col>
      <xdr:colOff>640080</xdr:colOff>
      <xdr:row>6</xdr:row>
      <xdr:rowOff>76201</xdr:rowOff>
    </xdr:to>
    <mc:AlternateContent xmlns:mc="http://schemas.openxmlformats.org/markup-compatibility/2006" xmlns:a14="http://schemas.microsoft.com/office/drawing/2010/main">
      <mc:Choice Requires="a14">
        <xdr:graphicFrame macro="">
          <xdr:nvGraphicFramePr>
            <xdr:cNvPr id="9" name="Type">
              <a:extLst>
                <a:ext uri="{FF2B5EF4-FFF2-40B4-BE49-F238E27FC236}">
                  <a16:creationId xmlns:a16="http://schemas.microsoft.com/office/drawing/2014/main" id="{48054E5E-53E7-275E-AFD3-499014781DE1}"/>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2476500" y="53341"/>
              <a:ext cx="1005840" cy="11201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133350</xdr:colOff>
      <xdr:row>5</xdr:row>
      <xdr:rowOff>144780</xdr:rowOff>
    </xdr:from>
    <xdr:to>
      <xdr:col>12</xdr:col>
      <xdr:colOff>350520</xdr:colOff>
      <xdr:row>16</xdr:row>
      <xdr:rowOff>100853</xdr:rowOff>
    </xdr:to>
    <xdr:graphicFrame macro="">
      <xdr:nvGraphicFramePr>
        <xdr:cNvPr id="13" name="Chart 12">
          <a:extLst>
            <a:ext uri="{FF2B5EF4-FFF2-40B4-BE49-F238E27FC236}">
              <a16:creationId xmlns:a16="http://schemas.microsoft.com/office/drawing/2014/main" id="{571BE43A-274D-E414-0798-603C3B2925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845820</xdr:colOff>
      <xdr:row>5</xdr:row>
      <xdr:rowOff>106680</xdr:rowOff>
    </xdr:from>
    <xdr:to>
      <xdr:col>16</xdr:col>
      <xdr:colOff>182880</xdr:colOff>
      <xdr:row>16</xdr:row>
      <xdr:rowOff>76200</xdr:rowOff>
    </xdr:to>
    <xdr:graphicFrame macro="">
      <xdr:nvGraphicFramePr>
        <xdr:cNvPr id="14" name="Chart 13">
          <a:extLst>
            <a:ext uri="{FF2B5EF4-FFF2-40B4-BE49-F238E27FC236}">
              <a16:creationId xmlns:a16="http://schemas.microsoft.com/office/drawing/2014/main" id="{9E53B600-0DF5-0B6D-4208-07A546CE5C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133351</xdr:colOff>
      <xdr:row>6</xdr:row>
      <xdr:rowOff>152400</xdr:rowOff>
    </xdr:from>
    <xdr:to>
      <xdr:col>4</xdr:col>
      <xdr:colOff>733426</xdr:colOff>
      <xdr:row>15</xdr:row>
      <xdr:rowOff>9525</xdr:rowOff>
    </xdr:to>
    <mc:AlternateContent xmlns:mc="http://schemas.openxmlformats.org/markup-compatibility/2006" xmlns:a14="http://schemas.microsoft.com/office/drawing/2010/main">
      <mc:Choice Requires="a14">
        <xdr:graphicFrame macro="">
          <xdr:nvGraphicFramePr>
            <xdr:cNvPr id="3" name="Name">
              <a:extLst>
                <a:ext uri="{FF2B5EF4-FFF2-40B4-BE49-F238E27FC236}">
                  <a16:creationId xmlns:a16="http://schemas.microsoft.com/office/drawing/2014/main" id="{B79FD6B8-4BB9-EE2D-FA88-6652874F1E90}"/>
                </a:ext>
              </a:extLst>
            </xdr:cNvPr>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2430557" y="1295400"/>
              <a:ext cx="1081928" cy="15716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235323</xdr:colOff>
      <xdr:row>19</xdr:row>
      <xdr:rowOff>100853</xdr:rowOff>
    </xdr:from>
    <xdr:to>
      <xdr:col>14</xdr:col>
      <xdr:colOff>626289</xdr:colOff>
      <xdr:row>34</xdr:row>
      <xdr:rowOff>177462</xdr:rowOff>
    </xdr:to>
    <xdr:pic>
      <xdr:nvPicPr>
        <xdr:cNvPr id="4" name="Picture 3">
          <a:extLst>
            <a:ext uri="{FF2B5EF4-FFF2-40B4-BE49-F238E27FC236}">
              <a16:creationId xmlns:a16="http://schemas.microsoft.com/office/drawing/2014/main" id="{7554C4C3-E162-7A6B-6FDF-A8389A7B54FA}"/>
            </a:ext>
          </a:extLst>
        </xdr:cNvPr>
        <xdr:cNvPicPr>
          <a:picLocks noChangeAspect="1"/>
        </xdr:cNvPicPr>
      </xdr:nvPicPr>
      <xdr:blipFill>
        <a:blip xmlns:r="http://schemas.openxmlformats.org/officeDocument/2006/relationships" r:embed="rId5"/>
        <a:stretch>
          <a:fillRect/>
        </a:stretch>
      </xdr:blipFill>
      <xdr:spPr>
        <a:xfrm>
          <a:off x="235323" y="3720353"/>
          <a:ext cx="11193437" cy="2934109"/>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alermchon visayadamrong" refreshedDate="46094.58425266204" createdVersion="8" refreshedVersion="8" minRefreshableVersion="3" recordCount="9" xr:uid="{D6F22202-CD8D-498D-BD87-965A62621087}">
  <cacheSource type="worksheet">
    <worksheetSource ref="A1:C10" sheet="Pivot"/>
  </cacheSource>
  <cacheFields count="3">
    <cacheField name="Name" numFmtId="0">
      <sharedItems count="4">
        <s v="สมชาย"/>
        <s v="สมหญิง"/>
        <s v="รักไทย"/>
        <s v="เพื่อนรัก"/>
      </sharedItems>
    </cacheField>
    <cacheField name="Type" numFmtId="0">
      <sharedItems count="3">
        <s v="Grass"/>
        <s v="Fire"/>
        <s v="Water"/>
      </sharedItems>
    </cacheField>
    <cacheField name="Total" numFmtId="0">
      <sharedItems containsSemiMixedTypes="0" containsString="0" containsNumber="1" containsInteger="1" minValue="218" maxValue="534"/>
    </cacheField>
  </cacheFields>
  <extLst>
    <ext xmlns:x14="http://schemas.microsoft.com/office/spreadsheetml/2009/9/main" uri="{725AE2AE-9491-48be-B2B4-4EB974FC3084}">
      <x14:pivotCacheDefinition pivotCacheId="26594564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x v="0"/>
    <x v="0"/>
    <n v="218"/>
  </r>
  <r>
    <x v="1"/>
    <x v="0"/>
    <n v="405"/>
  </r>
  <r>
    <x v="2"/>
    <x v="0"/>
    <n v="250"/>
  </r>
  <r>
    <x v="3"/>
    <x v="1"/>
    <n v="309"/>
  </r>
  <r>
    <x v="0"/>
    <x v="1"/>
    <n v="405"/>
  </r>
  <r>
    <x v="2"/>
    <x v="1"/>
    <n v="534"/>
  </r>
  <r>
    <x v="2"/>
    <x v="2"/>
    <n v="314"/>
  </r>
  <r>
    <x v="3"/>
    <x v="2"/>
    <n v="405"/>
  </r>
  <r>
    <x v="2"/>
    <x v="2"/>
    <n v="53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1F5927-F859-4130-9606-6C3092B501D6}" name="PivotTable12" cacheId="0" dataPosition="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N1:O5" firstHeaderRow="1" firstDataRow="1" firstDataCol="1"/>
  <pivotFields count="3">
    <pivotField showAll="0"/>
    <pivotField axis="axisRow" showAll="0">
      <items count="4">
        <item x="1"/>
        <item x="0"/>
        <item x="2"/>
        <item t="default"/>
      </items>
    </pivotField>
    <pivotField dataField="1" showAll="0"/>
  </pivotFields>
  <rowFields count="1">
    <field x="1"/>
  </rowFields>
  <rowItems count="4">
    <i>
      <x/>
    </i>
    <i>
      <x v="1"/>
    </i>
    <i>
      <x v="2"/>
    </i>
    <i t="grand">
      <x/>
    </i>
  </rowItems>
  <colItems count="1">
    <i/>
  </colItems>
  <dataFields count="1">
    <dataField name="Count of Total3" fld="2" subtotal="count" baseField="1" baseItem="0"/>
  </dataFields>
  <chartFormats count="3">
    <chartFormat chart="0" format="2"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B2D4502-7D49-45D4-BF14-B616E9F91455}" name="PivotTable11" cacheId="0" dataPosition="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K1:L5" firstHeaderRow="1" firstDataRow="1" firstDataCol="1"/>
  <pivotFields count="3">
    <pivotField showAll="0"/>
    <pivotField axis="axisRow" showAll="0">
      <items count="4">
        <item x="1"/>
        <item x="0"/>
        <item x="2"/>
        <item t="default"/>
      </items>
    </pivotField>
    <pivotField dataField="1" showAll="0"/>
  </pivotFields>
  <rowFields count="1">
    <field x="1"/>
  </rowFields>
  <rowItems count="4">
    <i>
      <x/>
    </i>
    <i>
      <x v="1"/>
    </i>
    <i>
      <x v="2"/>
    </i>
    <i t="grand">
      <x/>
    </i>
  </rowItems>
  <colItems count="1">
    <i/>
  </colItems>
  <dataFields count="1">
    <dataField name="Sum of Total" fld="2" baseField="0" baseItem="0"/>
  </dataFields>
  <chartFormats count="3">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A37BC8D-9D6D-4AEF-999B-27ABAEDB4F3E}" name="PivotTable9" cacheId="0" dataPosition="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F1:I5" firstHeaderRow="0" firstDataRow="1" firstDataCol="1"/>
  <pivotFields count="3">
    <pivotField showAll="0">
      <items count="5">
        <item x="3"/>
        <item x="2"/>
        <item x="0"/>
        <item x="1"/>
        <item t="default"/>
      </items>
    </pivotField>
    <pivotField axis="axisRow" showAll="0">
      <items count="4">
        <item x="1"/>
        <item x="0"/>
        <item x="2"/>
        <item t="default"/>
      </items>
    </pivotField>
    <pivotField dataField="1" showAll="0"/>
  </pivotFields>
  <rowFields count="1">
    <field x="1"/>
  </rowFields>
  <rowItems count="4">
    <i>
      <x/>
    </i>
    <i>
      <x v="1"/>
    </i>
    <i>
      <x v="2"/>
    </i>
    <i t="grand">
      <x/>
    </i>
  </rowItems>
  <colFields count="1">
    <field x="-2"/>
  </colFields>
  <colItems count="3">
    <i>
      <x/>
    </i>
    <i i="1">
      <x v="1"/>
    </i>
    <i i="2">
      <x v="2"/>
    </i>
  </colItems>
  <dataFields count="3">
    <dataField name="Sum of Total" fld="2" baseField="0" baseItem="0"/>
    <dataField name="Average of Total2" fld="2" subtotal="average" baseField="1" baseItem="0"/>
    <dataField name="Count of Total3" fld="2" subtotal="count" baseField="1" baseItem="0"/>
  </dataFields>
  <chartFormats count="1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pivotArea type="data" outline="0" fieldPosition="0">
        <references count="2">
          <reference field="4294967294" count="1" selected="0">
            <x v="0"/>
          </reference>
          <reference field="1" count="1" selected="0">
            <x v="0"/>
          </reference>
        </references>
      </pivotArea>
    </chartFormat>
    <chartFormat chart="0" format="4">
      <pivotArea type="data" outline="0" fieldPosition="0">
        <references count="2">
          <reference field="4294967294" count="1" selected="0">
            <x v="0"/>
          </reference>
          <reference field="1" count="1" selected="0">
            <x v="1"/>
          </reference>
        </references>
      </pivotArea>
    </chartFormat>
    <chartFormat chart="0" format="5">
      <pivotArea type="data" outline="0" fieldPosition="0">
        <references count="2">
          <reference field="4294967294" count="1" selected="0">
            <x v="0"/>
          </reference>
          <reference field="1" count="1" selected="0">
            <x v="2"/>
          </reference>
        </references>
      </pivotArea>
    </chartFormat>
    <chartFormat chart="0" format="6">
      <pivotArea type="data" outline="0" fieldPosition="0">
        <references count="2">
          <reference field="4294967294" count="1" selected="0">
            <x v="1"/>
          </reference>
          <reference field="1" count="1" selected="0">
            <x v="0"/>
          </reference>
        </references>
      </pivotArea>
    </chartFormat>
    <chartFormat chart="0" format="7">
      <pivotArea type="data" outline="0" fieldPosition="0">
        <references count="2">
          <reference field="4294967294" count="1" selected="0">
            <x v="1"/>
          </reference>
          <reference field="1" count="1" selected="0">
            <x v="1"/>
          </reference>
        </references>
      </pivotArea>
    </chartFormat>
    <chartFormat chart="0" format="8">
      <pivotArea type="data" outline="0" fieldPosition="0">
        <references count="2">
          <reference field="4294967294" count="1" selected="0">
            <x v="1"/>
          </reference>
          <reference field="1" count="1" selected="0">
            <x v="2"/>
          </reference>
        </references>
      </pivotArea>
    </chartFormat>
    <chartFormat chart="0" format="9">
      <pivotArea type="data" outline="0" fieldPosition="0">
        <references count="2">
          <reference field="4294967294" count="1" selected="0">
            <x v="2"/>
          </reference>
          <reference field="1" count="1" selected="0">
            <x v="0"/>
          </reference>
        </references>
      </pivotArea>
    </chartFormat>
    <chartFormat chart="0" format="10">
      <pivotArea type="data" outline="0" fieldPosition="0">
        <references count="2">
          <reference field="4294967294" count="1" selected="0">
            <x v="2"/>
          </reference>
          <reference field="1" count="1" selected="0">
            <x v="1"/>
          </reference>
        </references>
      </pivotArea>
    </chartFormat>
    <chartFormat chart="0" format="11">
      <pivotArea type="data" outline="0" fieldPosition="0">
        <references count="2">
          <reference field="4294967294" count="1" selected="0">
            <x v="2"/>
          </reference>
          <reference field="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B656A0-3F2B-4D06-A236-34E5F51D8A56}" sourceName="Type">
  <pivotTables>
    <pivotTable tabId="5" name="PivotTable9"/>
    <pivotTable tabId="5" name="PivotTable11"/>
    <pivotTable tabId="5" name="PivotTable12"/>
  </pivotTables>
  <data>
    <tabular pivotCacheId="265945648">
      <items count="3">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6D7F8E43-A089-442A-A72D-13C54423211D}" sourceName="Name">
  <pivotTables>
    <pivotTable tabId="5" name="PivotTable9"/>
  </pivotTables>
  <data>
    <tabular pivotCacheId="265945648">
      <items count="4">
        <i x="3" s="1"/>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6F9EE3A2-18C0-4580-828C-0FCE1DDD66C9}" cache="Slicer_Type" caption="Type" rowHeight="234950"/>
  <slicer name="Name" xr10:uid="{B1CA4CAF-B3C7-427E-B97B-9DBC0571D079}" cache="Slicer_Name" caption="Nam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7"/>
  <sheetViews>
    <sheetView tabSelected="1" topLeftCell="A3" zoomScale="130" zoomScaleNormal="130" workbookViewId="0">
      <selection activeCell="C13" sqref="C13"/>
    </sheetView>
  </sheetViews>
  <sheetFormatPr defaultRowHeight="15" x14ac:dyDescent="0.25"/>
  <cols>
    <col min="1" max="1" width="9.28515625" customWidth="1"/>
    <col min="2" max="2" width="9.140625" customWidth="1"/>
    <col min="3" max="3" width="6.28515625" customWidth="1"/>
    <col min="4" max="4" width="5.42578125" customWidth="1"/>
    <col min="5" max="5" width="3.7109375" customWidth="1"/>
    <col min="6" max="7" width="9.42578125" customWidth="1"/>
    <col min="8" max="8" width="12.140625" customWidth="1"/>
    <col min="9" max="9" width="11.42578125" style="8" customWidth="1"/>
    <col min="10" max="11" width="24" customWidth="1"/>
  </cols>
  <sheetData>
    <row r="1" spans="1:11" x14ac:dyDescent="0.25">
      <c r="A1" s="12" t="s">
        <v>0</v>
      </c>
      <c r="B1" s="12" t="s">
        <v>12</v>
      </c>
      <c r="C1" s="12" t="s">
        <v>1</v>
      </c>
      <c r="D1" s="12" t="s">
        <v>46</v>
      </c>
      <c r="E1" s="8"/>
      <c r="F1" t="s">
        <v>2</v>
      </c>
      <c r="G1" s="8"/>
      <c r="J1" s="1" t="e">
        <f ca="1">_xlfn.FORMULATEXT(J3)</f>
        <v>#N/A</v>
      </c>
      <c r="K1" s="2" t="s">
        <v>11</v>
      </c>
    </row>
    <row r="2" spans="1:11" x14ac:dyDescent="0.25">
      <c r="A2" s="12" t="s">
        <v>3</v>
      </c>
      <c r="B2" s="12" t="s">
        <v>4</v>
      </c>
      <c r="C2" s="12">
        <v>10</v>
      </c>
      <c r="D2" s="12">
        <v>5</v>
      </c>
      <c r="E2" s="8"/>
      <c r="F2" s="25" t="s">
        <v>5</v>
      </c>
      <c r="G2" s="8"/>
      <c r="I2" s="9" t="s">
        <v>13</v>
      </c>
      <c r="J2" s="6" t="s">
        <v>12</v>
      </c>
      <c r="K2" s="6" t="s">
        <v>1</v>
      </c>
    </row>
    <row r="3" spans="1:11" x14ac:dyDescent="0.25">
      <c r="A3" s="12" t="s">
        <v>6</v>
      </c>
      <c r="B3" s="12" t="s">
        <v>7</v>
      </c>
      <c r="C3" s="12">
        <v>5</v>
      </c>
      <c r="D3" s="12">
        <v>10</v>
      </c>
      <c r="E3" s="8"/>
      <c r="F3" t="str">
        <f ca="1">_xlfn.FORMULATEXT(F4)</f>
        <v>=VLOOKUP($F$2, A2:C5,3, 0)</v>
      </c>
      <c r="G3" s="8"/>
      <c r="I3" s="12" t="s">
        <v>5</v>
      </c>
      <c r="J3" s="3"/>
      <c r="K3" s="2"/>
    </row>
    <row r="4" spans="1:11" x14ac:dyDescent="0.25">
      <c r="A4" s="12" t="s">
        <v>5</v>
      </c>
      <c r="B4" s="12" t="s">
        <v>8</v>
      </c>
      <c r="C4" s="12">
        <v>25</v>
      </c>
      <c r="D4" s="12">
        <v>15</v>
      </c>
      <c r="E4" s="8"/>
      <c r="F4" s="26">
        <f>VLOOKUP($F$2, A2:C5,3, 0)</f>
        <v>25</v>
      </c>
      <c r="G4" s="8"/>
      <c r="I4" s="12" t="s">
        <v>3</v>
      </c>
      <c r="J4" s="2"/>
      <c r="K4" s="2"/>
    </row>
    <row r="5" spans="1:11" x14ac:dyDescent="0.25">
      <c r="A5" s="12" t="s">
        <v>9</v>
      </c>
      <c r="B5" s="12" t="s">
        <v>10</v>
      </c>
      <c r="C5" s="12">
        <v>8</v>
      </c>
      <c r="D5" s="12">
        <v>5</v>
      </c>
      <c r="E5" s="8"/>
      <c r="F5" t="str">
        <f ca="1">_xlfn.FORMULATEXT(F6)</f>
        <v>=VLOOKUP($F$2, A4:C8, {2,3}, 0)</v>
      </c>
      <c r="G5" s="8"/>
      <c r="I5" s="12" t="s">
        <v>9</v>
      </c>
      <c r="J5" s="2"/>
      <c r="K5" s="2"/>
    </row>
    <row r="6" spans="1:11" x14ac:dyDescent="0.25">
      <c r="F6" s="27" t="str" cm="1">
        <f t="array" ref="F6:G6">VLOOKUP($F$2, A4:C8, {2,3}, 0)</f>
        <v>Notebook</v>
      </c>
      <c r="G6" s="28">
        <v>25</v>
      </c>
    </row>
    <row r="7" spans="1:11" ht="11.25" customHeight="1" x14ac:dyDescent="0.25">
      <c r="G7" s="8"/>
    </row>
    <row r="8" spans="1:11" x14ac:dyDescent="0.25">
      <c r="A8" s="8"/>
      <c r="D8" s="13"/>
      <c r="F8" t="str">
        <f ca="1">_xlfn.FORMULATEXT(F9)</f>
        <v>= MATCH(F2,A1:A5)</v>
      </c>
      <c r="I8" s="29" t="s">
        <v>47</v>
      </c>
      <c r="J8" s="6" t="s">
        <v>12</v>
      </c>
      <c r="K8" s="6" t="s">
        <v>1</v>
      </c>
    </row>
    <row r="9" spans="1:11" x14ac:dyDescent="0.25">
      <c r="A9" s="8"/>
      <c r="F9" s="11">
        <f xml:space="preserve"> MATCH(F2,A1:A5)</f>
        <v>4</v>
      </c>
      <c r="I9" s="12" t="s">
        <v>5</v>
      </c>
      <c r="J9" s="4"/>
      <c r="K9" s="4"/>
    </row>
    <row r="10" spans="1:11" x14ac:dyDescent="0.25">
      <c r="F10" t="str">
        <f ca="1">_xlfn.FORMULATEXT(F11)</f>
        <v>=INDEX(C1:C5,MATCH(F2,A1:A5))</v>
      </c>
      <c r="I10" s="12" t="s">
        <v>3</v>
      </c>
      <c r="J10" s="2"/>
      <c r="K10" s="2"/>
    </row>
    <row r="11" spans="1:11" x14ac:dyDescent="0.25">
      <c r="A11" s="8"/>
      <c r="F11" s="11">
        <f>INDEX(C1:C5,MATCH(F2,A1:A5))</f>
        <v>25</v>
      </c>
      <c r="I11" s="12" t="s">
        <v>9</v>
      </c>
      <c r="J11" s="2"/>
      <c r="K11" s="2"/>
    </row>
    <row r="13" spans="1:11" x14ac:dyDescent="0.25">
      <c r="A13" s="8"/>
      <c r="F13" t="str">
        <f ca="1">_xlfn.FORMULATEXT(F14)</f>
        <v>=XLOOKUP(F2,A2:A5,C2:C5)</v>
      </c>
      <c r="I13" s="17" t="s">
        <v>14</v>
      </c>
      <c r="J13" s="5" t="e">
        <f ca="1">_xlfn.FORMULATEXT(J15)</f>
        <v>#N/A</v>
      </c>
      <c r="K13" s="5" t="e">
        <f ca="1">_xlfn.FORMULATEXT(K15)</f>
        <v>#N/A</v>
      </c>
    </row>
    <row r="14" spans="1:11" x14ac:dyDescent="0.25">
      <c r="A14" s="8"/>
      <c r="F14" s="17">
        <f>_xlfn.XLOOKUP(F2,A2:A5,C2:C5)</f>
        <v>25</v>
      </c>
      <c r="I14" s="10" t="s">
        <v>2</v>
      </c>
      <c r="J14" s="6" t="s">
        <v>12</v>
      </c>
      <c r="K14" s="6" t="s">
        <v>1</v>
      </c>
    </row>
    <row r="15" spans="1:11" x14ac:dyDescent="0.25">
      <c r="I15" s="12" t="s">
        <v>5</v>
      </c>
      <c r="J15" s="4"/>
      <c r="K15" s="4"/>
    </row>
    <row r="16" spans="1:11" x14ac:dyDescent="0.25">
      <c r="I16" s="12" t="s">
        <v>3</v>
      </c>
      <c r="J16" s="2"/>
      <c r="K16" s="2"/>
    </row>
    <row r="17" spans="9:11" x14ac:dyDescent="0.25">
      <c r="I17" s="12" t="s">
        <v>9</v>
      </c>
      <c r="J17" s="2"/>
      <c r="K17" s="2"/>
    </row>
  </sheetData>
  <phoneticPr fontId="1" type="noConversion"/>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178C9C-2940-4A75-81CC-06F478CF4CA5}">
  <dimension ref="A1:M11"/>
  <sheetViews>
    <sheetView zoomScale="115" zoomScaleNormal="115" workbookViewId="0">
      <selection activeCell="H11" sqref="H11"/>
    </sheetView>
  </sheetViews>
  <sheetFormatPr defaultRowHeight="15" x14ac:dyDescent="0.25"/>
  <cols>
    <col min="1" max="1" width="11.7109375" customWidth="1"/>
    <col min="2" max="2" width="10.28515625" customWidth="1"/>
    <col min="3" max="3" width="9.5703125" customWidth="1"/>
    <col min="4" max="4" width="10" customWidth="1"/>
    <col min="5" max="5" width="9" customWidth="1"/>
    <col min="6" max="6" width="4.42578125" customWidth="1"/>
    <col min="7" max="7" width="9.28515625" customWidth="1"/>
    <col min="8" max="8" width="20.5703125" customWidth="1"/>
    <col min="9" max="9" width="24.28515625" customWidth="1"/>
    <col min="10" max="10" width="32.7109375" customWidth="1"/>
    <col min="11" max="11" width="12" customWidth="1"/>
  </cols>
  <sheetData>
    <row r="1" spans="1:13" x14ac:dyDescent="0.25">
      <c r="A1" s="12" t="s">
        <v>12</v>
      </c>
      <c r="B1" s="12" t="s">
        <v>28</v>
      </c>
      <c r="C1" s="12" t="s">
        <v>15</v>
      </c>
      <c r="D1" s="20" t="s">
        <v>34</v>
      </c>
      <c r="E1" s="20" t="s">
        <v>35</v>
      </c>
      <c r="F1" s="8"/>
    </row>
    <row r="2" spans="1:13" x14ac:dyDescent="0.25">
      <c r="A2" s="7" t="s">
        <v>42</v>
      </c>
      <c r="B2" s="7" t="s">
        <v>17</v>
      </c>
      <c r="C2" s="30">
        <v>218</v>
      </c>
      <c r="D2" s="21"/>
      <c r="E2" s="21"/>
      <c r="H2" t="s">
        <v>31</v>
      </c>
      <c r="I2" t="s">
        <v>30</v>
      </c>
      <c r="J2" t="s">
        <v>33</v>
      </c>
      <c r="M2" s="7" t="s">
        <v>17</v>
      </c>
    </row>
    <row r="3" spans="1:13" x14ac:dyDescent="0.25">
      <c r="A3" s="7" t="s">
        <v>43</v>
      </c>
      <c r="B3" s="7" t="s">
        <v>17</v>
      </c>
      <c r="C3" s="30">
        <v>405</v>
      </c>
      <c r="D3" s="21"/>
      <c r="E3" s="21"/>
      <c r="H3" s="9" t="s">
        <v>32</v>
      </c>
      <c r="I3" s="18" t="s">
        <v>29</v>
      </c>
      <c r="J3" s="17" t="s">
        <v>36</v>
      </c>
      <c r="M3" s="7" t="s">
        <v>21</v>
      </c>
    </row>
    <row r="4" spans="1:13" x14ac:dyDescent="0.25">
      <c r="A4" s="7" t="s">
        <v>44</v>
      </c>
      <c r="B4" s="7" t="s">
        <v>17</v>
      </c>
      <c r="C4" s="30">
        <v>250</v>
      </c>
      <c r="D4" s="21">
        <f>SUM(C2:C4)</f>
        <v>873</v>
      </c>
      <c r="E4" s="21">
        <f>AVERAGE(C2:C4)</f>
        <v>291</v>
      </c>
      <c r="G4" s="12" t="s">
        <v>28</v>
      </c>
      <c r="H4" s="3" t="str">
        <f ca="1">_xlfn.FORMULATEXT(H5)</f>
        <v>=COUNTIF(B2:B10,G5)</v>
      </c>
      <c r="I4" s="4" t="str">
        <f ca="1">_xlfn.FORMULATEXT(I5)</f>
        <v>=SUMIF(B2:B10,G5,C2:C10)</v>
      </c>
      <c r="J4" s="19" t="str">
        <f ca="1">_xlfn.FORMULATEXT(J5)</f>
        <v>=AVERAGEIF(B2:B10,G5,C2:C10)</v>
      </c>
      <c r="M4" s="7" t="s">
        <v>22</v>
      </c>
    </row>
    <row r="5" spans="1:13" x14ac:dyDescent="0.25">
      <c r="A5" s="7" t="s">
        <v>45</v>
      </c>
      <c r="B5" s="7" t="s">
        <v>21</v>
      </c>
      <c r="C5" s="30">
        <v>309</v>
      </c>
      <c r="D5" s="7"/>
      <c r="E5" s="7"/>
      <c r="G5" s="12" t="s">
        <v>17</v>
      </c>
      <c r="H5" s="15">
        <f>COUNTIF(B2:B10,G5)</f>
        <v>3</v>
      </c>
      <c r="I5" s="16">
        <f>SUMIF(B2:B10,G5,C2:C10)</f>
        <v>873</v>
      </c>
      <c r="J5" s="19">
        <f>AVERAGEIF(B2:B10,G5,C2:C10)</f>
        <v>291</v>
      </c>
    </row>
    <row r="6" spans="1:13" x14ac:dyDescent="0.25">
      <c r="A6" s="7" t="s">
        <v>42</v>
      </c>
      <c r="B6" s="7" t="s">
        <v>21</v>
      </c>
      <c r="C6" s="30">
        <v>405</v>
      </c>
      <c r="D6" s="7"/>
      <c r="E6" s="7"/>
      <c r="G6" s="12" t="s">
        <v>21</v>
      </c>
      <c r="H6" s="14"/>
      <c r="I6" s="7"/>
      <c r="J6" s="2"/>
    </row>
    <row r="7" spans="1:13" x14ac:dyDescent="0.25">
      <c r="A7" s="7" t="s">
        <v>44</v>
      </c>
      <c r="B7" s="7" t="s">
        <v>21</v>
      </c>
      <c r="C7" s="30">
        <v>534</v>
      </c>
      <c r="D7" s="7">
        <f>SUM(C5:C7)</f>
        <v>1248</v>
      </c>
      <c r="E7" s="7">
        <f>AVERAGE(C5:C7)</f>
        <v>416</v>
      </c>
      <c r="G7" s="12" t="s">
        <v>22</v>
      </c>
      <c r="H7" s="14"/>
      <c r="I7" s="7"/>
      <c r="J7" s="2"/>
    </row>
    <row r="8" spans="1:13" x14ac:dyDescent="0.25">
      <c r="A8" s="7" t="s">
        <v>44</v>
      </c>
      <c r="B8" s="7" t="s">
        <v>22</v>
      </c>
      <c r="C8" s="30">
        <v>314</v>
      </c>
      <c r="D8" s="21"/>
      <c r="E8" s="21"/>
      <c r="I8" s="8"/>
    </row>
    <row r="9" spans="1:13" x14ac:dyDescent="0.25">
      <c r="A9" s="7" t="s">
        <v>45</v>
      </c>
      <c r="B9" s="7" t="s">
        <v>22</v>
      </c>
      <c r="C9" s="30">
        <v>405</v>
      </c>
      <c r="D9" s="21"/>
      <c r="E9" s="21"/>
    </row>
    <row r="10" spans="1:13" x14ac:dyDescent="0.25">
      <c r="A10" s="7" t="s">
        <v>44</v>
      </c>
      <c r="B10" s="7" t="s">
        <v>22</v>
      </c>
      <c r="C10" s="30">
        <v>530</v>
      </c>
      <c r="D10" s="21">
        <f>SUM(C8:C10)</f>
        <v>1249</v>
      </c>
      <c r="E10" s="22">
        <f>AVERAGE(C8:C10)</f>
        <v>416.33333333333331</v>
      </c>
    </row>
    <row r="11" spans="1:13" x14ac:dyDescent="0.25">
      <c r="C11" s="13">
        <f>SUM(C2:C10)</f>
        <v>3370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4AF22-191C-4AF2-B5BD-3AC8D82780F7}">
  <dimension ref="A1:O26"/>
  <sheetViews>
    <sheetView zoomScale="85" zoomScaleNormal="85" workbookViewId="0">
      <selection activeCell="A21" sqref="A21"/>
    </sheetView>
  </sheetViews>
  <sheetFormatPr defaultRowHeight="15" x14ac:dyDescent="0.25"/>
  <cols>
    <col min="1" max="1" width="16.28515625" customWidth="1"/>
    <col min="4" max="4" width="7.28515625" customWidth="1"/>
    <col min="5" max="5" width="14.7109375" customWidth="1"/>
    <col min="6" max="6" width="13.140625" bestFit="1" customWidth="1"/>
    <col min="7" max="7" width="12" bestFit="1" customWidth="1"/>
    <col min="8" max="8" width="16.5703125" bestFit="1" customWidth="1"/>
    <col min="9" max="9" width="14.5703125" bestFit="1" customWidth="1"/>
    <col min="10" max="10" width="3.85546875" customWidth="1"/>
    <col min="11" max="11" width="13.140625" bestFit="1" customWidth="1"/>
    <col min="12" max="12" width="12" bestFit="1" customWidth="1"/>
    <col min="13" max="13" width="7.140625" customWidth="1"/>
    <col min="14" max="14" width="13.140625" bestFit="1" customWidth="1"/>
    <col min="15" max="15" width="14.5703125" bestFit="1" customWidth="1"/>
    <col min="16" max="16" width="14.140625" bestFit="1" customWidth="1"/>
  </cols>
  <sheetData>
    <row r="1" spans="1:15" x14ac:dyDescent="0.25">
      <c r="A1" s="12" t="s">
        <v>12</v>
      </c>
      <c r="B1" s="12" t="s">
        <v>28</v>
      </c>
      <c r="C1" s="12" t="s">
        <v>15</v>
      </c>
      <c r="F1" s="23" t="s">
        <v>37</v>
      </c>
      <c r="G1" t="s">
        <v>39</v>
      </c>
      <c r="H1" t="s">
        <v>40</v>
      </c>
      <c r="I1" t="s">
        <v>41</v>
      </c>
      <c r="K1" s="23" t="s">
        <v>37</v>
      </c>
      <c r="L1" t="s">
        <v>39</v>
      </c>
      <c r="N1" s="23" t="s">
        <v>37</v>
      </c>
      <c r="O1" t="s">
        <v>41</v>
      </c>
    </row>
    <row r="2" spans="1:15" x14ac:dyDescent="0.25">
      <c r="A2" s="7" t="s">
        <v>42</v>
      </c>
      <c r="B2" s="7" t="s">
        <v>17</v>
      </c>
      <c r="C2" s="7">
        <v>218</v>
      </c>
      <c r="F2" s="24" t="s">
        <v>21</v>
      </c>
      <c r="G2">
        <v>1248</v>
      </c>
      <c r="H2">
        <v>416</v>
      </c>
      <c r="I2">
        <v>3</v>
      </c>
      <c r="K2" s="24" t="s">
        <v>21</v>
      </c>
      <c r="L2">
        <v>1248</v>
      </c>
      <c r="N2" s="24" t="s">
        <v>21</v>
      </c>
      <c r="O2">
        <v>3</v>
      </c>
    </row>
    <row r="3" spans="1:15" x14ac:dyDescent="0.25">
      <c r="A3" s="7" t="s">
        <v>43</v>
      </c>
      <c r="B3" s="7" t="s">
        <v>17</v>
      </c>
      <c r="C3" s="7">
        <v>405</v>
      </c>
      <c r="F3" s="24" t="s">
        <v>17</v>
      </c>
      <c r="G3">
        <v>873</v>
      </c>
      <c r="H3">
        <v>291</v>
      </c>
      <c r="I3">
        <v>3</v>
      </c>
      <c r="K3" s="24" t="s">
        <v>17</v>
      </c>
      <c r="L3">
        <v>873</v>
      </c>
      <c r="N3" s="24" t="s">
        <v>17</v>
      </c>
      <c r="O3">
        <v>3</v>
      </c>
    </row>
    <row r="4" spans="1:15" x14ac:dyDescent="0.25">
      <c r="A4" s="7" t="s">
        <v>44</v>
      </c>
      <c r="B4" s="7" t="s">
        <v>17</v>
      </c>
      <c r="C4" s="7">
        <v>250</v>
      </c>
      <c r="F4" s="24" t="s">
        <v>22</v>
      </c>
      <c r="G4">
        <v>1249</v>
      </c>
      <c r="H4">
        <v>416.33333333333331</v>
      </c>
      <c r="I4">
        <v>3</v>
      </c>
      <c r="K4" s="24" t="s">
        <v>22</v>
      </c>
      <c r="L4">
        <v>1249</v>
      </c>
      <c r="N4" s="24" t="s">
        <v>22</v>
      </c>
      <c r="O4">
        <v>3</v>
      </c>
    </row>
    <row r="5" spans="1:15" x14ac:dyDescent="0.25">
      <c r="A5" s="7" t="s">
        <v>45</v>
      </c>
      <c r="B5" s="7" t="s">
        <v>21</v>
      </c>
      <c r="C5" s="7">
        <v>309</v>
      </c>
      <c r="F5" s="24" t="s">
        <v>38</v>
      </c>
      <c r="G5">
        <v>3370</v>
      </c>
      <c r="H5">
        <v>374.44444444444446</v>
      </c>
      <c r="I5">
        <v>9</v>
      </c>
      <c r="K5" s="24" t="s">
        <v>38</v>
      </c>
      <c r="L5">
        <v>3370</v>
      </c>
      <c r="N5" s="24" t="s">
        <v>38</v>
      </c>
      <c r="O5">
        <v>9</v>
      </c>
    </row>
    <row r="6" spans="1:15" x14ac:dyDescent="0.25">
      <c r="A6" s="7" t="s">
        <v>42</v>
      </c>
      <c r="B6" s="7" t="s">
        <v>21</v>
      </c>
      <c r="C6" s="7">
        <v>405</v>
      </c>
    </row>
    <row r="7" spans="1:15" x14ac:dyDescent="0.25">
      <c r="A7" s="7" t="s">
        <v>44</v>
      </c>
      <c r="B7" s="7" t="s">
        <v>21</v>
      </c>
      <c r="C7" s="7">
        <v>534</v>
      </c>
    </row>
    <row r="8" spans="1:15" x14ac:dyDescent="0.25">
      <c r="A8" s="7" t="s">
        <v>44</v>
      </c>
      <c r="B8" s="7" t="s">
        <v>22</v>
      </c>
      <c r="C8" s="7">
        <v>314</v>
      </c>
    </row>
    <row r="9" spans="1:15" x14ac:dyDescent="0.25">
      <c r="A9" s="7" t="s">
        <v>45</v>
      </c>
      <c r="B9" s="7" t="s">
        <v>22</v>
      </c>
      <c r="C9" s="7">
        <v>405</v>
      </c>
    </row>
    <row r="10" spans="1:15" x14ac:dyDescent="0.25">
      <c r="A10" s="7" t="s">
        <v>44</v>
      </c>
      <c r="B10" s="7" t="s">
        <v>22</v>
      </c>
      <c r="C10" s="7">
        <v>530</v>
      </c>
    </row>
    <row r="26" spans="9:9" x14ac:dyDescent="0.25">
      <c r="I26" t="s">
        <v>48</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2A46C-9E3D-42CC-9D8C-3D8FAAC4EDD8}">
  <dimension ref="A1:C12"/>
  <sheetViews>
    <sheetView workbookViewId="0">
      <selection activeCell="F20" sqref="F20"/>
    </sheetView>
  </sheetViews>
  <sheetFormatPr defaultRowHeight="15" x14ac:dyDescent="0.25"/>
  <cols>
    <col min="1" max="1" width="11.85546875" customWidth="1"/>
  </cols>
  <sheetData>
    <row r="1" spans="1:3" x14ac:dyDescent="0.25">
      <c r="A1" t="s">
        <v>12</v>
      </c>
      <c r="B1" t="s">
        <v>28</v>
      </c>
      <c r="C1" t="s">
        <v>15</v>
      </c>
    </row>
    <row r="2" spans="1:3" x14ac:dyDescent="0.25">
      <c r="A2" t="s">
        <v>16</v>
      </c>
      <c r="B2" t="s">
        <v>17</v>
      </c>
      <c r="C2">
        <v>318</v>
      </c>
    </row>
    <row r="3" spans="1:3" x14ac:dyDescent="0.25">
      <c r="A3" t="s">
        <v>18</v>
      </c>
      <c r="B3" t="s">
        <v>17</v>
      </c>
      <c r="C3">
        <v>405</v>
      </c>
    </row>
    <row r="4" spans="1:3" x14ac:dyDescent="0.25">
      <c r="A4" t="s">
        <v>19</v>
      </c>
      <c r="B4" t="s">
        <v>17</v>
      </c>
      <c r="C4">
        <v>525</v>
      </c>
    </row>
    <row r="5" spans="1:3" x14ac:dyDescent="0.25">
      <c r="A5" t="s">
        <v>23</v>
      </c>
      <c r="B5" t="s">
        <v>21</v>
      </c>
      <c r="C5">
        <v>309</v>
      </c>
    </row>
    <row r="6" spans="1:3" x14ac:dyDescent="0.25">
      <c r="A6" t="s">
        <v>20</v>
      </c>
      <c r="B6" t="s">
        <v>21</v>
      </c>
      <c r="C6">
        <v>405</v>
      </c>
    </row>
    <row r="7" spans="1:3" x14ac:dyDescent="0.25">
      <c r="A7" t="s">
        <v>24</v>
      </c>
      <c r="B7" t="s">
        <v>21</v>
      </c>
      <c r="C7">
        <v>534</v>
      </c>
    </row>
    <row r="8" spans="1:3" x14ac:dyDescent="0.25">
      <c r="A8" t="s">
        <v>25</v>
      </c>
      <c r="B8" t="s">
        <v>22</v>
      </c>
      <c r="C8">
        <v>314</v>
      </c>
    </row>
    <row r="9" spans="1:3" x14ac:dyDescent="0.25">
      <c r="A9" t="s">
        <v>26</v>
      </c>
      <c r="B9" t="s">
        <v>22</v>
      </c>
      <c r="C9">
        <v>405</v>
      </c>
    </row>
    <row r="10" spans="1:3" x14ac:dyDescent="0.25">
      <c r="A10" t="s">
        <v>27</v>
      </c>
      <c r="B10" t="s">
        <v>22</v>
      </c>
      <c r="C10">
        <v>530</v>
      </c>
    </row>
    <row r="11" spans="1:3" x14ac:dyDescent="0.25">
      <c r="A11" t="s">
        <v>16</v>
      </c>
      <c r="B11" t="s">
        <v>17</v>
      </c>
      <c r="C11">
        <v>318</v>
      </c>
    </row>
    <row r="12" spans="1:3" x14ac:dyDescent="0.25">
      <c r="A12" t="s">
        <v>16</v>
      </c>
      <c r="B12" t="s">
        <v>17</v>
      </c>
      <c r="C12">
        <v>318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DBC3B51-552C-4822-BD4F-9D9D17040A3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Lookup Sample</vt:lpstr>
      <vt:lpstr>SUMIF</vt:lpstr>
      <vt:lpstr>Pivot</vt:lpstr>
      <vt:lpstr>Dta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Chalermchon Visayadamrong</cp:lastModifiedBy>
  <dcterms:created xsi:type="dcterms:W3CDTF">2026-03-13T02:38:10Z</dcterms:created>
  <dcterms:modified xsi:type="dcterms:W3CDTF">2026-03-13T07:14:56Z</dcterms:modified>
</cp:coreProperties>
</file>